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blaszczak\Dropbox\UNR\Publications\Submitted or In Review\0_2025 Brehob Macrophytes\Freshwater Science 2025\Revisions October 2025\Revised docs 2025_12_31\"/>
    </mc:Choice>
  </mc:AlternateContent>
  <xr:revisionPtr revIDLastSave="0" documentId="13_ncr:1_{B086AB11-E3C1-47FB-B1F4-1D4499131916}" xr6:coauthVersionLast="47" xr6:coauthVersionMax="47" xr10:uidLastSave="{00000000-0000-0000-0000-000000000000}"/>
  <bookViews>
    <workbookView xWindow="3470" yWindow="3450" windowWidth="33960" windowHeight="16540" activeTab="2" xr2:uid="{ECC013C4-96EB-4360-A82A-1C5365BA8BDB}"/>
  </bookViews>
  <sheets>
    <sheet name="A Depths" sheetId="3" r:id="rId1"/>
    <sheet name="DL (MSL) Depths" sheetId="4" r:id="rId2"/>
    <sheet name="UL (DRL) Depths" sheetId="1" r:id="rId3"/>
    <sheet name="Summary Table" sheetId="2" r:id="rId4"/>
    <sheet name="Formatted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" i="1" l="1"/>
  <c r="R36" i="1"/>
  <c r="R15" i="1"/>
  <c r="R61" i="4"/>
  <c r="R40" i="4"/>
  <c r="R19" i="4"/>
  <c r="T44" i="3"/>
  <c r="T23" i="3"/>
  <c r="T2" i="3"/>
  <c r="M61" i="4"/>
  <c r="L61" i="4"/>
  <c r="K61" i="4"/>
  <c r="J61" i="4"/>
  <c r="I61" i="4"/>
  <c r="H61" i="4"/>
  <c r="G61" i="4"/>
  <c r="F61" i="4"/>
  <c r="E61" i="4"/>
  <c r="D61" i="4"/>
  <c r="C61" i="4"/>
  <c r="M40" i="4"/>
  <c r="L40" i="4"/>
  <c r="K40" i="4"/>
  <c r="J40" i="4"/>
  <c r="I40" i="4"/>
  <c r="H40" i="4"/>
  <c r="G40" i="4"/>
  <c r="F40" i="4"/>
  <c r="E40" i="4"/>
  <c r="D40" i="4"/>
  <c r="C40" i="4"/>
  <c r="M19" i="4"/>
  <c r="L19" i="4"/>
  <c r="K19" i="4"/>
  <c r="J19" i="4"/>
  <c r="I19" i="4"/>
  <c r="H19" i="4"/>
  <c r="G19" i="4"/>
  <c r="F19" i="4"/>
  <c r="E19" i="4"/>
  <c r="D19" i="4"/>
  <c r="C19" i="4"/>
  <c r="O61" i="3"/>
  <c r="N61" i="3"/>
  <c r="M61" i="3"/>
  <c r="L61" i="3"/>
  <c r="K61" i="3"/>
  <c r="J61" i="3"/>
  <c r="I61" i="3"/>
  <c r="H61" i="3"/>
  <c r="G61" i="3"/>
  <c r="F61" i="3"/>
  <c r="E61" i="3"/>
  <c r="D61" i="3"/>
  <c r="C61" i="3"/>
  <c r="R61" i="3" s="1"/>
  <c r="R40" i="3"/>
  <c r="Q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U19" i="3"/>
  <c r="T19" i="3"/>
  <c r="N19" i="3"/>
  <c r="O19" i="3"/>
  <c r="P19" i="3"/>
  <c r="Q19" i="3"/>
  <c r="R19" i="3"/>
  <c r="M19" i="3"/>
  <c r="L19" i="3"/>
  <c r="K19" i="3"/>
  <c r="J19" i="3"/>
  <c r="I19" i="3"/>
  <c r="H19" i="3"/>
  <c r="G19" i="3"/>
  <c r="F19" i="3"/>
  <c r="E19" i="3"/>
  <c r="D19" i="3"/>
  <c r="C19" i="3"/>
  <c r="F36" i="1"/>
  <c r="M57" i="1"/>
  <c r="L57" i="1"/>
  <c r="K57" i="1"/>
  <c r="J57" i="1"/>
  <c r="I57" i="1"/>
  <c r="H57" i="1"/>
  <c r="G57" i="1"/>
  <c r="F57" i="1"/>
  <c r="E57" i="1"/>
  <c r="D57" i="1"/>
  <c r="C57" i="1"/>
  <c r="M36" i="1"/>
  <c r="L36" i="1"/>
  <c r="K36" i="1"/>
  <c r="J36" i="1"/>
  <c r="I36" i="1"/>
  <c r="H36" i="1"/>
  <c r="G36" i="1"/>
  <c r="E36" i="1"/>
  <c r="D36" i="1"/>
  <c r="C36" i="1"/>
  <c r="D15" i="1"/>
  <c r="E15" i="1"/>
  <c r="F15" i="1"/>
  <c r="G15" i="1"/>
  <c r="H15" i="1"/>
  <c r="I15" i="1"/>
  <c r="J15" i="1"/>
  <c r="K15" i="1"/>
  <c r="L15" i="1"/>
  <c r="M15" i="1"/>
  <c r="C15" i="1"/>
  <c r="P61" i="4" l="1"/>
  <c r="O61" i="4"/>
  <c r="Q61" i="4" s="1"/>
  <c r="P40" i="4"/>
  <c r="O40" i="4"/>
  <c r="O19" i="4"/>
  <c r="P19" i="4"/>
  <c r="Q61" i="3"/>
  <c r="S61" i="3" s="1"/>
  <c r="S40" i="3"/>
  <c r="V19" i="3"/>
  <c r="O57" i="1"/>
  <c r="O15" i="1"/>
  <c r="P15" i="1"/>
  <c r="P57" i="1"/>
  <c r="P36" i="1"/>
  <c r="O36" i="1"/>
  <c r="Q40" i="4" l="1"/>
  <c r="Q19" i="4"/>
  <c r="Q57" i="1"/>
  <c r="Q15" i="1"/>
  <c r="Q36" i="1"/>
</calcChain>
</file>

<file path=xl/sharedStrings.xml><?xml version="1.0" encoding="utf-8"?>
<sst xmlns="http://schemas.openxmlformats.org/spreadsheetml/2006/main" count="207" uniqueCount="54">
  <si>
    <t>Canal</t>
  </si>
  <si>
    <t>A</t>
  </si>
  <si>
    <t>UL</t>
  </si>
  <si>
    <t>DL</t>
  </si>
  <si>
    <t>Bridge</t>
  </si>
  <si>
    <t>DRL10</t>
  </si>
  <si>
    <t>DRL9</t>
  </si>
  <si>
    <t>DRL8</t>
  </si>
  <si>
    <t>DRL7</t>
  </si>
  <si>
    <t>DRL6</t>
  </si>
  <si>
    <t>DRL5</t>
  </si>
  <si>
    <t>DRL4</t>
  </si>
  <si>
    <t>DRL3</t>
  </si>
  <si>
    <t>DRL2</t>
  </si>
  <si>
    <t>DRL1</t>
  </si>
  <si>
    <t>Event</t>
  </si>
  <si>
    <t>Mean</t>
  </si>
  <si>
    <t>SD</t>
  </si>
  <si>
    <t>CV</t>
  </si>
  <si>
    <t>Mean_Depth_m</t>
  </si>
  <si>
    <t>SD_Depth_m</t>
  </si>
  <si>
    <t>CV_Depth_m</t>
  </si>
  <si>
    <t>AT15</t>
  </si>
  <si>
    <t>AT14</t>
  </si>
  <si>
    <t>AT13</t>
  </si>
  <si>
    <t>AT12</t>
  </si>
  <si>
    <t>AT11</t>
  </si>
  <si>
    <t>AT10</t>
  </si>
  <si>
    <t>AT9</t>
  </si>
  <si>
    <t>AT8</t>
  </si>
  <si>
    <t>AT7</t>
  </si>
  <si>
    <t>AT6</t>
  </si>
  <si>
    <t>AC5</t>
  </si>
  <si>
    <t>AC4</t>
  </si>
  <si>
    <t>AC3</t>
  </si>
  <si>
    <t>AC2</t>
  </si>
  <si>
    <t>AC1</t>
  </si>
  <si>
    <t>AT4</t>
  </si>
  <si>
    <t>AT1</t>
  </si>
  <si>
    <t>AT5</t>
  </si>
  <si>
    <t>AT2</t>
  </si>
  <si>
    <t>MSL10</t>
  </si>
  <si>
    <t>MSL9</t>
  </si>
  <si>
    <t>MSL8</t>
  </si>
  <si>
    <t>MSL7</t>
  </si>
  <si>
    <t>MSL6</t>
  </si>
  <si>
    <t>MSL5</t>
  </si>
  <si>
    <t>MSL4</t>
  </si>
  <si>
    <t>MSL3</t>
  </si>
  <si>
    <t>MSL2</t>
  </si>
  <si>
    <t>MSL1</t>
  </si>
  <si>
    <t>No. transects</t>
  </si>
  <si>
    <t>Depth (m)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</si>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</sst>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0" applyFont="1" applyAlignment="1">
      <alignment horizontal="right" wrapText="1"/>
    </xf>
    <xf numFmtId="2" fontId="0" fillId="0" borderId="0" xfId="0" applyNumberFormat="1"/>
    <xf numFmtId="2" fontId="2" fillId="0" borderId="0" xfId="0" applyNumberFormat="1" applyFont="1" applyAlignment="1">
      <alignment horizontal="right" wrapText="1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/>
  </cellXfs>
  <cellStyles count="2">
    <cellStyle name="Normal" xfId="0" builtinId="0"/>
    <cellStyle name="Normal 2" xfId="1" xr:uid="{E0E5BBFE-2A55-4256-97CF-CAA91B3BE6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04B3C-8B61-4170-B3EE-A406312F42AD}">
  <dimension ref="A1:V61"/>
  <sheetViews>
    <sheetView topLeftCell="A16" workbookViewId="0">
      <selection activeCell="T44" sqref="T44"/>
    </sheetView>
  </sheetViews>
  <sheetFormatPr defaultRowHeight="14.5" x14ac:dyDescent="0.35"/>
  <sheetData>
    <row r="1" spans="1:22" x14ac:dyDescent="0.35">
      <c r="A1" s="2" t="s">
        <v>0</v>
      </c>
      <c r="B1" s="4" t="s">
        <v>15</v>
      </c>
      <c r="C1" s="2" t="s">
        <v>4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  <c r="S1" s="2"/>
      <c r="T1" s="2"/>
      <c r="U1" s="2"/>
      <c r="V1" s="2"/>
    </row>
    <row r="2" spans="1:22" x14ac:dyDescent="0.35">
      <c r="A2" s="2" t="s">
        <v>1</v>
      </c>
      <c r="B2" s="5">
        <v>1</v>
      </c>
      <c r="C2" s="1">
        <v>1.94</v>
      </c>
      <c r="D2" s="1">
        <v>0.69</v>
      </c>
      <c r="E2" s="1">
        <v>0.66</v>
      </c>
      <c r="F2" s="1">
        <v>0.41</v>
      </c>
      <c r="G2" s="1">
        <v>0.56000000000000005</v>
      </c>
      <c r="H2" s="1">
        <v>0.33</v>
      </c>
      <c r="I2" s="1">
        <v>0.28000000000000003</v>
      </c>
      <c r="J2" s="1">
        <v>0.44</v>
      </c>
      <c r="K2" s="1">
        <v>1.06</v>
      </c>
      <c r="L2" s="1">
        <v>0.96</v>
      </c>
      <c r="M2" s="1">
        <v>0.8</v>
      </c>
      <c r="N2" s="1">
        <v>0.92</v>
      </c>
      <c r="O2" s="1">
        <v>0.42</v>
      </c>
      <c r="P2" s="1">
        <v>1.08</v>
      </c>
      <c r="Q2" s="1">
        <v>0.34</v>
      </c>
      <c r="R2" s="1">
        <v>0.68</v>
      </c>
      <c r="S2" s="1"/>
      <c r="T2" s="8">
        <f>COUNT(C2:R18)</f>
        <v>140</v>
      </c>
      <c r="U2" s="2"/>
      <c r="V2" s="2"/>
    </row>
    <row r="3" spans="1:22" x14ac:dyDescent="0.35">
      <c r="A3" s="2"/>
      <c r="B3" s="4"/>
      <c r="C3" s="1">
        <v>1.84</v>
      </c>
      <c r="D3" s="1">
        <v>1.2</v>
      </c>
      <c r="E3" s="1">
        <v>1.1299999999999999</v>
      </c>
      <c r="F3" s="1">
        <v>0.72</v>
      </c>
      <c r="G3" s="1">
        <v>1.02</v>
      </c>
      <c r="H3" s="1">
        <v>0.89</v>
      </c>
      <c r="I3" s="1">
        <v>1</v>
      </c>
      <c r="J3" s="1">
        <v>1.06</v>
      </c>
      <c r="K3" s="1">
        <v>1.35</v>
      </c>
      <c r="L3" s="1">
        <v>1.38</v>
      </c>
      <c r="M3" s="1">
        <v>1.3</v>
      </c>
      <c r="N3" s="1">
        <v>1.34</v>
      </c>
      <c r="O3" s="1">
        <v>1.1200000000000001</v>
      </c>
      <c r="P3" s="1">
        <v>1.41</v>
      </c>
      <c r="Q3" s="1">
        <v>1.1100000000000001</v>
      </c>
      <c r="R3" s="1">
        <v>1.02</v>
      </c>
      <c r="S3" s="1"/>
      <c r="T3" s="2"/>
      <c r="U3" s="2"/>
      <c r="V3" s="2"/>
    </row>
    <row r="4" spans="1:22" x14ac:dyDescent="0.35">
      <c r="A4" s="2"/>
      <c r="B4" s="4"/>
      <c r="C4" s="1">
        <v>1.84</v>
      </c>
      <c r="D4" s="1">
        <v>1.42</v>
      </c>
      <c r="E4" s="1">
        <v>1.59</v>
      </c>
      <c r="F4" s="1">
        <v>1.1200000000000001</v>
      </c>
      <c r="G4" s="1">
        <v>1.4</v>
      </c>
      <c r="H4" s="1">
        <v>1.29</v>
      </c>
      <c r="I4" s="1">
        <v>1.36</v>
      </c>
      <c r="J4" s="1">
        <v>1.46</v>
      </c>
      <c r="K4" s="1">
        <v>1.4</v>
      </c>
      <c r="L4" s="1">
        <v>1.4</v>
      </c>
      <c r="M4" s="1">
        <v>1.4</v>
      </c>
      <c r="N4" s="1">
        <v>1.32</v>
      </c>
      <c r="O4" s="1">
        <v>1.38</v>
      </c>
      <c r="P4" s="1">
        <v>1.46</v>
      </c>
      <c r="Q4" s="1">
        <v>1.4</v>
      </c>
      <c r="R4" s="1">
        <v>1.36</v>
      </c>
      <c r="S4" s="1"/>
      <c r="T4" s="2"/>
      <c r="U4" s="2"/>
      <c r="V4" s="2"/>
    </row>
    <row r="5" spans="1:22" x14ac:dyDescent="0.35">
      <c r="A5" s="2"/>
      <c r="B5" s="4"/>
      <c r="C5" s="1">
        <v>1.84</v>
      </c>
      <c r="D5" s="1">
        <v>1.56</v>
      </c>
      <c r="E5" s="1">
        <v>1.56</v>
      </c>
      <c r="F5" s="1">
        <v>1.48</v>
      </c>
      <c r="G5" s="1">
        <v>1.6</v>
      </c>
      <c r="H5" s="1">
        <v>1.45</v>
      </c>
      <c r="I5" s="1">
        <v>1.5</v>
      </c>
      <c r="J5" s="1">
        <v>1.5</v>
      </c>
      <c r="K5" s="1">
        <v>1.4</v>
      </c>
      <c r="L5" s="1">
        <v>1.38</v>
      </c>
      <c r="M5" s="1">
        <v>1.4</v>
      </c>
      <c r="N5" s="1">
        <v>1.34</v>
      </c>
      <c r="O5" s="1">
        <v>1.44</v>
      </c>
      <c r="P5" s="1">
        <v>1.45</v>
      </c>
      <c r="Q5" s="1">
        <v>1.44</v>
      </c>
      <c r="R5" s="1">
        <v>1.28</v>
      </c>
      <c r="S5" s="1"/>
      <c r="T5" s="2"/>
      <c r="U5" s="2"/>
      <c r="V5" s="2"/>
    </row>
    <row r="6" spans="1:22" x14ac:dyDescent="0.35">
      <c r="A6" s="2"/>
      <c r="B6" s="4"/>
      <c r="C6" s="1">
        <v>1.87</v>
      </c>
      <c r="D6" s="1">
        <v>1.53</v>
      </c>
      <c r="E6" s="1">
        <v>1.64</v>
      </c>
      <c r="F6" s="1">
        <v>1.58</v>
      </c>
      <c r="G6" s="1">
        <v>1.7</v>
      </c>
      <c r="H6" s="1">
        <v>1.58</v>
      </c>
      <c r="I6" s="1">
        <v>1.5</v>
      </c>
      <c r="J6" s="1">
        <v>1.5</v>
      </c>
      <c r="K6" s="1">
        <v>1.4</v>
      </c>
      <c r="L6" s="1">
        <v>1.34</v>
      </c>
      <c r="M6" s="1">
        <v>1.38</v>
      </c>
      <c r="N6" s="1">
        <v>1.34</v>
      </c>
      <c r="O6" s="1">
        <v>1.4</v>
      </c>
      <c r="P6" s="1">
        <v>1.49</v>
      </c>
      <c r="Q6" s="1">
        <v>1.48</v>
      </c>
      <c r="R6" s="1">
        <v>1.34</v>
      </c>
      <c r="S6" s="1"/>
      <c r="T6" s="2"/>
      <c r="U6" s="2"/>
      <c r="V6" s="2"/>
    </row>
    <row r="7" spans="1:22" x14ac:dyDescent="0.35">
      <c r="A7" s="2"/>
      <c r="B7" s="4"/>
      <c r="C7" s="1">
        <v>1.81</v>
      </c>
      <c r="D7" s="1">
        <v>1.58</v>
      </c>
      <c r="E7" s="1">
        <v>1.6</v>
      </c>
      <c r="F7" s="1">
        <v>1.58</v>
      </c>
      <c r="G7" s="1">
        <v>1.69</v>
      </c>
      <c r="H7" s="1">
        <v>1.56</v>
      </c>
      <c r="I7" s="1">
        <v>1.54</v>
      </c>
      <c r="J7" s="1">
        <v>1.26</v>
      </c>
      <c r="K7" s="1">
        <v>1.36</v>
      </c>
      <c r="L7" s="1">
        <v>1.34</v>
      </c>
      <c r="M7" s="1">
        <v>1.41</v>
      </c>
      <c r="N7" s="1">
        <v>1.34</v>
      </c>
      <c r="O7" s="1">
        <v>1.41</v>
      </c>
      <c r="P7" s="1">
        <v>1.49</v>
      </c>
      <c r="Q7" s="1">
        <v>1.45</v>
      </c>
      <c r="R7" s="1">
        <v>1.46</v>
      </c>
      <c r="S7" s="1"/>
      <c r="T7" s="2"/>
      <c r="U7" s="2"/>
      <c r="V7" s="2"/>
    </row>
    <row r="8" spans="1:22" x14ac:dyDescent="0.35">
      <c r="A8" s="2"/>
      <c r="B8" s="4"/>
      <c r="C8" s="1">
        <v>1.83</v>
      </c>
      <c r="D8" s="1">
        <v>1.54</v>
      </c>
      <c r="E8" s="1">
        <v>1.48</v>
      </c>
      <c r="F8" s="1">
        <v>1.64</v>
      </c>
      <c r="G8" s="1">
        <v>1.52</v>
      </c>
      <c r="H8" s="1">
        <v>1.55</v>
      </c>
      <c r="I8" s="1">
        <v>1.46</v>
      </c>
      <c r="J8" s="1">
        <v>1.46</v>
      </c>
      <c r="K8" s="1">
        <v>1.38</v>
      </c>
      <c r="L8" s="1">
        <v>1.4</v>
      </c>
      <c r="M8" s="1">
        <v>1.44</v>
      </c>
      <c r="N8" s="1">
        <v>1.38</v>
      </c>
      <c r="O8" s="1">
        <v>1.42</v>
      </c>
      <c r="P8" s="1">
        <v>1.3</v>
      </c>
      <c r="Q8" s="1">
        <v>1.48</v>
      </c>
      <c r="R8" s="1">
        <v>1.48</v>
      </c>
      <c r="S8" s="1"/>
      <c r="T8" s="2"/>
      <c r="U8" s="2"/>
      <c r="V8" s="2"/>
    </row>
    <row r="9" spans="1:22" x14ac:dyDescent="0.35">
      <c r="A9" s="2"/>
      <c r="B9" s="4"/>
      <c r="C9" s="1">
        <v>1.8</v>
      </c>
      <c r="D9" s="1">
        <v>1.3</v>
      </c>
      <c r="E9" s="1">
        <v>0.67</v>
      </c>
      <c r="F9" s="1">
        <v>1.53</v>
      </c>
      <c r="G9" s="1">
        <v>1.56</v>
      </c>
      <c r="H9" s="1">
        <v>1.48</v>
      </c>
      <c r="I9" s="1">
        <v>1.52</v>
      </c>
      <c r="J9" s="1">
        <v>1.44</v>
      </c>
      <c r="K9" s="1">
        <v>0.88</v>
      </c>
      <c r="L9" s="1">
        <v>0.92</v>
      </c>
      <c r="M9" s="1">
        <v>1</v>
      </c>
      <c r="N9" s="1">
        <v>1.02</v>
      </c>
      <c r="O9" s="1">
        <v>1.26</v>
      </c>
      <c r="P9" s="1">
        <v>0.5</v>
      </c>
      <c r="Q9" s="1">
        <v>0.77</v>
      </c>
      <c r="R9" s="1">
        <v>1.1399999999999999</v>
      </c>
      <c r="S9" s="1"/>
      <c r="T9" s="2"/>
      <c r="U9" s="2"/>
      <c r="V9" s="2"/>
    </row>
    <row r="10" spans="1:22" x14ac:dyDescent="0.35">
      <c r="A10" s="2"/>
      <c r="B10" s="4"/>
      <c r="C10" s="1">
        <v>1.79</v>
      </c>
      <c r="D10" s="1">
        <v>0.9</v>
      </c>
      <c r="E10" s="1"/>
      <c r="F10" s="1">
        <v>1.1399999999999999</v>
      </c>
      <c r="G10" s="1">
        <v>1.19</v>
      </c>
      <c r="H10" s="1">
        <v>1.2</v>
      </c>
      <c r="I10" s="1">
        <v>1.1599999999999999</v>
      </c>
      <c r="J10" s="1">
        <v>0.76</v>
      </c>
      <c r="K10" s="1">
        <v>0.28000000000000003</v>
      </c>
      <c r="L10" s="1"/>
      <c r="M10" s="1"/>
      <c r="N10" s="1"/>
      <c r="O10" s="1">
        <v>0.57999999999999996</v>
      </c>
      <c r="P10" s="1"/>
      <c r="Q10" s="1"/>
      <c r="R10" s="1">
        <v>0.38</v>
      </c>
      <c r="S10" s="1"/>
      <c r="T10" s="2"/>
      <c r="U10" s="2"/>
      <c r="V10" s="2"/>
    </row>
    <row r="11" spans="1:22" x14ac:dyDescent="0.35">
      <c r="A11" s="2"/>
      <c r="B11" s="4"/>
      <c r="C11" s="1">
        <v>1.74</v>
      </c>
      <c r="D11" s="1"/>
      <c r="E11" s="1"/>
      <c r="F11" s="1"/>
      <c r="G11" s="1">
        <v>0.42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"/>
      <c r="U11" s="2"/>
      <c r="V11" s="2"/>
    </row>
    <row r="12" spans="1:22" x14ac:dyDescent="0.35">
      <c r="A12" s="2"/>
      <c r="B12" s="4"/>
      <c r="C12" s="1"/>
      <c r="D12" s="3"/>
      <c r="E12" s="3"/>
      <c r="F12" s="1"/>
      <c r="G12" s="1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  <c r="U12" s="2"/>
      <c r="V12" s="2"/>
    </row>
    <row r="13" spans="1:22" x14ac:dyDescent="0.35">
      <c r="A13" s="2"/>
      <c r="B13" s="4"/>
      <c r="C13" s="1"/>
      <c r="D13" s="3"/>
      <c r="E13" s="3"/>
      <c r="F13" s="1"/>
      <c r="G13" s="1"/>
      <c r="H13" s="3"/>
      <c r="I13" s="1"/>
      <c r="J13" s="3"/>
      <c r="K13" s="1"/>
      <c r="L13" s="1"/>
      <c r="M13" s="1"/>
      <c r="N13" s="1"/>
      <c r="O13" s="1"/>
      <c r="P13" s="1"/>
      <c r="Q13" s="1"/>
      <c r="R13" s="1"/>
      <c r="S13" s="1"/>
      <c r="T13" s="2"/>
      <c r="U13" s="2"/>
      <c r="V13" s="2"/>
    </row>
    <row r="14" spans="1:22" x14ac:dyDescent="0.35">
      <c r="A14" s="2"/>
      <c r="B14" s="4"/>
      <c r="C14" s="3"/>
      <c r="D14" s="3"/>
      <c r="E14" s="3"/>
      <c r="F14" s="3"/>
      <c r="G14" s="3"/>
      <c r="H14" s="3"/>
      <c r="I14" s="1"/>
      <c r="J14" s="3"/>
      <c r="K14" s="3"/>
      <c r="L14" s="3"/>
      <c r="M14" s="1"/>
      <c r="N14" s="1"/>
      <c r="O14" s="1"/>
      <c r="P14" s="1"/>
      <c r="Q14" s="1"/>
      <c r="R14" s="1"/>
      <c r="S14" s="1"/>
      <c r="T14" s="2"/>
      <c r="U14" s="2"/>
      <c r="V14" s="2"/>
    </row>
    <row r="15" spans="1:22" x14ac:dyDescent="0.35">
      <c r="A15" s="2"/>
      <c r="B15" s="4"/>
      <c r="C15" s="3"/>
      <c r="D15" s="3"/>
      <c r="E15" s="3"/>
      <c r="F15" s="3"/>
      <c r="G15" s="3"/>
      <c r="H15" s="3"/>
      <c r="I15" s="3"/>
      <c r="J15" s="3"/>
      <c r="K15" s="3"/>
      <c r="L15" s="3"/>
      <c r="M15" s="1"/>
      <c r="N15" s="1"/>
      <c r="O15" s="1"/>
      <c r="P15" s="1"/>
      <c r="Q15" s="1"/>
      <c r="R15" s="1"/>
      <c r="S15" s="1"/>
      <c r="T15" s="2"/>
      <c r="U15" s="2"/>
      <c r="V15" s="2"/>
    </row>
    <row r="16" spans="1:22" x14ac:dyDescent="0.35">
      <c r="A16" s="2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2"/>
      <c r="U16" s="2"/>
      <c r="V16" s="2"/>
    </row>
    <row r="17" spans="1:22" x14ac:dyDescent="0.35">
      <c r="A17" s="2"/>
      <c r="B17" s="4"/>
      <c r="C17" s="3"/>
      <c r="D17" s="2"/>
      <c r="E17" s="2"/>
      <c r="F17" s="2"/>
      <c r="G17" s="3"/>
      <c r="H17" s="2"/>
      <c r="I17" s="2"/>
      <c r="J17" s="3"/>
      <c r="K17" s="3"/>
      <c r="L17" s="2"/>
      <c r="M17" s="3"/>
      <c r="N17" s="3"/>
      <c r="O17" s="3"/>
      <c r="P17" s="3"/>
      <c r="Q17" s="3"/>
      <c r="R17" s="3"/>
      <c r="S17" s="3"/>
      <c r="T17" s="2"/>
      <c r="U17" s="2"/>
      <c r="V17" s="2"/>
    </row>
    <row r="18" spans="1:22" x14ac:dyDescent="0.35">
      <c r="A18" s="2"/>
      <c r="B18" s="4"/>
      <c r="C18" s="2"/>
      <c r="D18" s="2"/>
      <c r="E18" s="2"/>
      <c r="F18" s="2"/>
      <c r="G18" s="2"/>
      <c r="H18" s="2"/>
      <c r="I18" s="2"/>
      <c r="J18" s="2"/>
      <c r="K18" s="3"/>
      <c r="L18" s="2"/>
      <c r="M18" s="3"/>
      <c r="N18" s="3"/>
      <c r="O18" s="3"/>
      <c r="P18" s="3"/>
      <c r="Q18" s="3"/>
      <c r="R18" s="3"/>
      <c r="S18" s="3"/>
      <c r="T18" s="2" t="s">
        <v>17</v>
      </c>
      <c r="U18" s="2" t="s">
        <v>16</v>
      </c>
      <c r="V18" s="2" t="s">
        <v>18</v>
      </c>
    </row>
    <row r="19" spans="1:22" x14ac:dyDescent="0.35">
      <c r="A19" s="2"/>
      <c r="B19" s="4" t="s">
        <v>16</v>
      </c>
      <c r="C19" s="2">
        <f>AVERAGE(C2:C18)</f>
        <v>1.83</v>
      </c>
      <c r="D19" s="2">
        <f t="shared" ref="D19:M19" si="0">AVERAGE(D2:D18)</f>
        <v>1.3022222222222224</v>
      </c>
      <c r="E19" s="2">
        <f t="shared" si="0"/>
        <v>1.29125</v>
      </c>
      <c r="F19" s="2">
        <f t="shared" si="0"/>
        <v>1.2444444444444445</v>
      </c>
      <c r="G19" s="2">
        <f t="shared" si="0"/>
        <v>1.266</v>
      </c>
      <c r="H19" s="2">
        <f t="shared" si="0"/>
        <v>1.2588888888888889</v>
      </c>
      <c r="I19" s="2">
        <f t="shared" si="0"/>
        <v>1.2577777777777779</v>
      </c>
      <c r="J19" s="2">
        <f t="shared" si="0"/>
        <v>1.2088888888888887</v>
      </c>
      <c r="K19" s="2">
        <f t="shared" si="0"/>
        <v>1.1677777777777778</v>
      </c>
      <c r="L19" s="2">
        <f t="shared" si="0"/>
        <v>1.2649999999999999</v>
      </c>
      <c r="M19" s="2">
        <f t="shared" si="0"/>
        <v>1.2662500000000001</v>
      </c>
      <c r="N19" s="2">
        <f t="shared" ref="N19" si="1">AVERAGE(N2:N18)</f>
        <v>1.25</v>
      </c>
      <c r="O19" s="2">
        <f t="shared" ref="O19" si="2">AVERAGE(O2:O18)</f>
        <v>1.1588888888888889</v>
      </c>
      <c r="P19" s="2">
        <f t="shared" ref="P19" si="3">AVERAGE(P2:P18)</f>
        <v>1.2725000000000002</v>
      </c>
      <c r="Q19" s="2">
        <f t="shared" ref="Q19" si="4">AVERAGE(Q2:Q18)</f>
        <v>1.1837499999999999</v>
      </c>
      <c r="R19" s="2">
        <f t="shared" ref="R19" si="5">AVERAGE(R2:R18)</f>
        <v>1.1266666666666669</v>
      </c>
      <c r="S19" s="2"/>
      <c r="T19" s="2">
        <f>STDEV(C19:R19)</f>
        <v>0.15725410592124239</v>
      </c>
      <c r="U19" s="2">
        <f>AVERAGE(C19:R19)</f>
        <v>1.2718940972222224</v>
      </c>
      <c r="V19" s="2">
        <f>T19/U19</f>
        <v>0.12363773545665518</v>
      </c>
    </row>
    <row r="20" spans="1:22" x14ac:dyDescent="0.35">
      <c r="A20" s="2"/>
      <c r="B20" s="4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2" spans="1:22" x14ac:dyDescent="0.35">
      <c r="A22" s="2" t="s">
        <v>0</v>
      </c>
      <c r="B22" s="4" t="s">
        <v>15</v>
      </c>
      <c r="C22" s="2" t="s">
        <v>4</v>
      </c>
      <c r="D22" s="2" t="s">
        <v>22</v>
      </c>
      <c r="E22" s="2" t="s">
        <v>24</v>
      </c>
      <c r="F22" s="2" t="s">
        <v>25</v>
      </c>
      <c r="G22" s="2" t="s">
        <v>27</v>
      </c>
      <c r="H22" s="2" t="s">
        <v>30</v>
      </c>
      <c r="I22" s="2" t="s">
        <v>31</v>
      </c>
      <c r="J22" s="2" t="s">
        <v>39</v>
      </c>
      <c r="K22" s="2" t="s">
        <v>37</v>
      </c>
      <c r="L22" s="2" t="s">
        <v>38</v>
      </c>
      <c r="M22" s="2" t="s">
        <v>32</v>
      </c>
      <c r="N22" s="2" t="s">
        <v>33</v>
      </c>
      <c r="O22" s="2" t="s">
        <v>35</v>
      </c>
      <c r="P22" s="2"/>
      <c r="R22" s="2"/>
      <c r="S22" s="2"/>
      <c r="T22" s="2"/>
      <c r="U22" s="2"/>
      <c r="V22" s="2"/>
    </row>
    <row r="23" spans="1:22" x14ac:dyDescent="0.35">
      <c r="A23" s="2" t="s">
        <v>1</v>
      </c>
      <c r="B23" s="5">
        <v>2</v>
      </c>
      <c r="C23" s="1">
        <v>0.9</v>
      </c>
      <c r="D23" s="1">
        <v>0.23</v>
      </c>
      <c r="E23" s="1">
        <v>0.24</v>
      </c>
      <c r="F23" s="1">
        <v>0.9</v>
      </c>
      <c r="G23" s="1">
        <v>0.93</v>
      </c>
      <c r="H23" s="1">
        <v>0.19</v>
      </c>
      <c r="I23" s="1">
        <v>0.18</v>
      </c>
      <c r="J23" s="1">
        <v>0.21</v>
      </c>
      <c r="K23" s="1">
        <v>0.24</v>
      </c>
      <c r="L23" s="1">
        <v>0.56999999999999995</v>
      </c>
      <c r="M23" s="1">
        <v>0.55000000000000004</v>
      </c>
      <c r="N23" s="1">
        <v>0.26</v>
      </c>
      <c r="O23" s="1">
        <v>0.74</v>
      </c>
      <c r="P23" s="1"/>
      <c r="Q23" s="1"/>
      <c r="R23" s="1"/>
      <c r="S23" s="1"/>
      <c r="T23" s="8">
        <f>COUNT(C23:R39)</f>
        <v>120</v>
      </c>
      <c r="U23" s="2"/>
      <c r="V23" s="2"/>
    </row>
    <row r="24" spans="1:22" x14ac:dyDescent="0.35">
      <c r="A24" s="2"/>
      <c r="B24" s="4"/>
      <c r="C24" s="1">
        <v>1.3</v>
      </c>
      <c r="D24" s="1">
        <v>0.93</v>
      </c>
      <c r="E24" s="1">
        <v>0.96</v>
      </c>
      <c r="F24" s="1">
        <v>1.33</v>
      </c>
      <c r="G24" s="1">
        <v>1.31</v>
      </c>
      <c r="H24" s="1">
        <v>0.65</v>
      </c>
      <c r="I24" s="1">
        <v>0.77</v>
      </c>
      <c r="J24" s="1">
        <v>0.86</v>
      </c>
      <c r="K24" s="1">
        <v>0.72</v>
      </c>
      <c r="L24" s="1">
        <v>1.1000000000000001</v>
      </c>
      <c r="M24" s="1">
        <v>1.05</v>
      </c>
      <c r="N24" s="1">
        <v>0.92</v>
      </c>
      <c r="O24" s="1">
        <v>1.24</v>
      </c>
      <c r="P24" s="1"/>
      <c r="Q24" s="1"/>
      <c r="R24" s="1"/>
      <c r="S24" s="1"/>
      <c r="T24" s="2"/>
      <c r="U24" s="2"/>
      <c r="V24" s="2"/>
    </row>
    <row r="25" spans="1:22" x14ac:dyDescent="0.35">
      <c r="A25" s="2"/>
      <c r="B25" s="4"/>
      <c r="C25" s="1">
        <v>1.3</v>
      </c>
      <c r="D25" s="1">
        <v>1.34</v>
      </c>
      <c r="E25" s="1">
        <v>1.5</v>
      </c>
      <c r="F25" s="1">
        <v>1.56</v>
      </c>
      <c r="G25" s="1">
        <v>1.66</v>
      </c>
      <c r="H25" s="1">
        <v>0.94</v>
      </c>
      <c r="I25" s="1">
        <v>1.1100000000000001</v>
      </c>
      <c r="J25" s="1">
        <v>1.27</v>
      </c>
      <c r="K25" s="1">
        <v>1.1599999999999999</v>
      </c>
      <c r="L25" s="1">
        <v>1.4</v>
      </c>
      <c r="M25" s="1">
        <v>1.34</v>
      </c>
      <c r="N25" s="1">
        <v>1.28</v>
      </c>
      <c r="O25" s="1">
        <v>1.53</v>
      </c>
      <c r="P25" s="1"/>
      <c r="Q25" s="1"/>
      <c r="R25" s="1"/>
      <c r="S25" s="1"/>
      <c r="T25" s="2"/>
      <c r="U25" s="2"/>
      <c r="V25" s="2"/>
    </row>
    <row r="26" spans="1:22" x14ac:dyDescent="0.35">
      <c r="A26" s="2"/>
      <c r="B26" s="4"/>
      <c r="C26" s="1">
        <v>1.32</v>
      </c>
      <c r="D26" s="1">
        <v>1.48</v>
      </c>
      <c r="E26" s="1">
        <v>1.68</v>
      </c>
      <c r="F26" s="1">
        <v>1.64</v>
      </c>
      <c r="G26" s="1">
        <v>1.68</v>
      </c>
      <c r="H26" s="1">
        <v>1.22</v>
      </c>
      <c r="I26" s="1">
        <v>1.36</v>
      </c>
      <c r="J26" s="1">
        <v>1.39</v>
      </c>
      <c r="K26" s="1">
        <v>1.48</v>
      </c>
      <c r="L26" s="1">
        <v>1.28</v>
      </c>
      <c r="M26" s="1">
        <v>1.51</v>
      </c>
      <c r="N26" s="1">
        <v>1.55</v>
      </c>
      <c r="O26" s="1">
        <v>1.55</v>
      </c>
      <c r="P26" s="1"/>
      <c r="Q26" s="1"/>
      <c r="R26" s="1"/>
      <c r="S26" s="1"/>
      <c r="T26" s="2"/>
      <c r="U26" s="2"/>
      <c r="V26" s="2"/>
    </row>
    <row r="27" spans="1:22" x14ac:dyDescent="0.35">
      <c r="A27" s="2"/>
      <c r="B27" s="4"/>
      <c r="C27" s="1">
        <v>1.31</v>
      </c>
      <c r="D27" s="1">
        <v>1.55</v>
      </c>
      <c r="E27" s="1">
        <v>1.68</v>
      </c>
      <c r="F27" s="1">
        <v>1.59</v>
      </c>
      <c r="G27" s="1">
        <v>1.66</v>
      </c>
      <c r="H27" s="1">
        <v>1.43</v>
      </c>
      <c r="I27" s="1">
        <v>1.55</v>
      </c>
      <c r="J27" s="1">
        <v>1.58</v>
      </c>
      <c r="K27" s="1">
        <v>1.53</v>
      </c>
      <c r="L27" s="1">
        <v>1.28</v>
      </c>
      <c r="M27" s="1">
        <v>1.49</v>
      </c>
      <c r="N27" s="1">
        <v>1.5</v>
      </c>
      <c r="O27" s="1">
        <v>1.5</v>
      </c>
      <c r="P27" s="1"/>
      <c r="Q27" s="1"/>
      <c r="R27" s="1"/>
      <c r="S27" s="1"/>
      <c r="T27" s="2"/>
      <c r="U27" s="2"/>
      <c r="V27" s="2"/>
    </row>
    <row r="28" spans="1:22" x14ac:dyDescent="0.35">
      <c r="A28" s="2"/>
      <c r="B28" s="4"/>
      <c r="C28" s="1">
        <v>1.34</v>
      </c>
      <c r="D28" s="1">
        <v>1.56</v>
      </c>
      <c r="E28" s="1">
        <v>1.71</v>
      </c>
      <c r="F28" s="1">
        <v>1.65</v>
      </c>
      <c r="G28" s="1">
        <v>1.66</v>
      </c>
      <c r="H28" s="1">
        <v>1.3</v>
      </c>
      <c r="I28" s="1">
        <v>1.58</v>
      </c>
      <c r="J28" s="1">
        <v>1.67</v>
      </c>
      <c r="K28" s="1">
        <v>1.65</v>
      </c>
      <c r="L28" s="1">
        <v>1.28</v>
      </c>
      <c r="M28" s="1">
        <v>1.49</v>
      </c>
      <c r="N28" s="1">
        <v>1.43</v>
      </c>
      <c r="O28" s="1">
        <v>1.56</v>
      </c>
      <c r="P28" s="1"/>
      <c r="Q28" s="1"/>
      <c r="R28" s="1"/>
      <c r="S28" s="1"/>
      <c r="T28" s="2"/>
      <c r="U28" s="2"/>
      <c r="V28" s="2"/>
    </row>
    <row r="29" spans="1:22" x14ac:dyDescent="0.35">
      <c r="A29" s="2"/>
      <c r="B29" s="4"/>
      <c r="C29" s="1">
        <v>1.38</v>
      </c>
      <c r="D29" s="1">
        <v>1.65</v>
      </c>
      <c r="E29" s="1">
        <v>1.66</v>
      </c>
      <c r="F29" s="1">
        <v>1.6</v>
      </c>
      <c r="G29" s="1">
        <v>1.62</v>
      </c>
      <c r="H29" s="1">
        <v>1.21</v>
      </c>
      <c r="I29" s="1">
        <v>1.63</v>
      </c>
      <c r="J29" s="1">
        <v>1.66</v>
      </c>
      <c r="K29" s="1">
        <v>1.63</v>
      </c>
      <c r="L29" s="1">
        <v>1.38</v>
      </c>
      <c r="M29" s="1">
        <v>1.5</v>
      </c>
      <c r="N29" s="1">
        <v>1.42</v>
      </c>
      <c r="O29" s="1">
        <v>1.36</v>
      </c>
      <c r="P29" s="1"/>
      <c r="Q29" s="1"/>
      <c r="R29" s="1"/>
      <c r="S29" s="1"/>
      <c r="T29" s="2"/>
      <c r="U29" s="2"/>
      <c r="V29" s="2"/>
    </row>
    <row r="30" spans="1:22" x14ac:dyDescent="0.35">
      <c r="A30" s="2"/>
      <c r="B30" s="4"/>
      <c r="C30" s="1">
        <v>1.2</v>
      </c>
      <c r="D30" s="1">
        <v>1.54</v>
      </c>
      <c r="E30" s="1">
        <v>1.6</v>
      </c>
      <c r="F30" s="1">
        <v>1.27</v>
      </c>
      <c r="G30" s="1">
        <v>1.38</v>
      </c>
      <c r="H30" s="1">
        <v>1.23</v>
      </c>
      <c r="I30" s="1">
        <v>1.6</v>
      </c>
      <c r="J30" s="1">
        <v>1.73</v>
      </c>
      <c r="K30" s="1">
        <v>1.45</v>
      </c>
      <c r="L30" s="1">
        <v>1.21</v>
      </c>
      <c r="M30" s="1">
        <v>1.48</v>
      </c>
      <c r="N30" s="1">
        <v>1.38</v>
      </c>
      <c r="O30" s="1">
        <v>0.23</v>
      </c>
      <c r="P30" s="1"/>
      <c r="Q30" s="1"/>
      <c r="R30" s="1"/>
      <c r="S30" s="1"/>
      <c r="T30" s="2"/>
      <c r="U30" s="2"/>
      <c r="V30" s="2"/>
    </row>
    <row r="31" spans="1:22" x14ac:dyDescent="0.35">
      <c r="A31" s="2"/>
      <c r="B31" s="4"/>
      <c r="C31" s="1">
        <v>1.08</v>
      </c>
      <c r="D31" s="1">
        <v>1.19</v>
      </c>
      <c r="E31" s="1">
        <v>0.78</v>
      </c>
      <c r="F31" s="1"/>
      <c r="G31" s="1"/>
      <c r="H31" s="1">
        <v>1.58</v>
      </c>
      <c r="I31" s="1">
        <v>1.35</v>
      </c>
      <c r="J31" s="1">
        <v>0.92</v>
      </c>
      <c r="K31" s="1">
        <v>1.44</v>
      </c>
      <c r="L31" s="1"/>
      <c r="M31" s="1">
        <v>0.93</v>
      </c>
      <c r="N31" s="1">
        <v>0.61</v>
      </c>
      <c r="O31" s="1">
        <v>0.23</v>
      </c>
      <c r="P31" s="1"/>
      <c r="Q31" s="1"/>
      <c r="R31" s="1"/>
      <c r="S31" s="1"/>
      <c r="T31" s="2"/>
      <c r="U31" s="2"/>
      <c r="V31" s="2"/>
    </row>
    <row r="32" spans="1:22" x14ac:dyDescent="0.35">
      <c r="A32" s="2"/>
      <c r="B32" s="4"/>
      <c r="C32" s="1">
        <v>0.86</v>
      </c>
      <c r="D32" s="1">
        <v>0.47</v>
      </c>
      <c r="E32" s="1"/>
      <c r="F32" s="1"/>
      <c r="G32" s="1"/>
      <c r="H32" s="1">
        <v>1.4</v>
      </c>
      <c r="I32" s="1">
        <v>0.6</v>
      </c>
      <c r="J32" s="1">
        <v>0.43</v>
      </c>
      <c r="K32" s="1">
        <v>0.56000000000000005</v>
      </c>
      <c r="L32" s="1"/>
      <c r="M32" s="1"/>
      <c r="N32" s="1"/>
      <c r="O32" s="1"/>
      <c r="P32" s="1"/>
      <c r="Q32" s="1"/>
      <c r="R32" s="1"/>
      <c r="S32" s="1"/>
      <c r="T32" s="2"/>
      <c r="U32" s="2"/>
      <c r="V32" s="2"/>
    </row>
    <row r="33" spans="1:22" x14ac:dyDescent="0.35">
      <c r="A33" s="2"/>
      <c r="B33" s="4"/>
      <c r="C33" s="1"/>
      <c r="D33" s="3"/>
      <c r="E33" s="3"/>
      <c r="F33" s="1"/>
      <c r="G33" s="1"/>
      <c r="H33" s="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2"/>
      <c r="U33" s="2"/>
      <c r="V33" s="2"/>
    </row>
    <row r="34" spans="1:22" x14ac:dyDescent="0.35">
      <c r="A34" s="2"/>
      <c r="B34" s="4"/>
      <c r="C34" s="1"/>
      <c r="D34" s="3"/>
      <c r="E34" s="3"/>
      <c r="F34" s="1"/>
      <c r="G34" s="1"/>
      <c r="H34" s="3"/>
      <c r="I34" s="1"/>
      <c r="J34" s="3"/>
      <c r="K34" s="1"/>
      <c r="L34" s="1"/>
      <c r="M34" s="1"/>
      <c r="N34" s="1"/>
      <c r="O34" s="1"/>
      <c r="P34" s="1"/>
      <c r="Q34" s="1"/>
      <c r="R34" s="1"/>
      <c r="S34" s="1"/>
      <c r="T34" s="2"/>
      <c r="U34" s="2"/>
      <c r="V34" s="2"/>
    </row>
    <row r="35" spans="1:22" x14ac:dyDescent="0.35">
      <c r="A35" s="2"/>
      <c r="B35" s="4"/>
      <c r="C35" s="3"/>
      <c r="D35" s="3"/>
      <c r="E35" s="3"/>
      <c r="F35" s="3"/>
      <c r="G35" s="3"/>
      <c r="H35" s="3"/>
      <c r="I35" s="1"/>
      <c r="J35" s="3"/>
      <c r="K35" s="3"/>
      <c r="L35" s="3"/>
      <c r="M35" s="1"/>
      <c r="N35" s="1"/>
      <c r="O35" s="1"/>
      <c r="P35" s="1"/>
      <c r="Q35" s="1"/>
      <c r="R35" s="1"/>
      <c r="S35" s="1"/>
      <c r="T35" s="2"/>
      <c r="U35" s="2"/>
      <c r="V35" s="2"/>
    </row>
    <row r="36" spans="1:22" x14ac:dyDescent="0.35">
      <c r="A36" s="2"/>
      <c r="B36" s="4"/>
      <c r="C36" s="3"/>
      <c r="D36" s="3"/>
      <c r="E36" s="3"/>
      <c r="F36" s="3"/>
      <c r="G36" s="3"/>
      <c r="H36" s="3"/>
      <c r="I36" s="3"/>
      <c r="J36" s="3"/>
      <c r="K36" s="3"/>
      <c r="L36" s="3"/>
      <c r="M36" s="1"/>
      <c r="N36" s="1"/>
      <c r="O36" s="1"/>
      <c r="P36" s="1"/>
      <c r="Q36" s="1"/>
      <c r="R36" s="1"/>
      <c r="S36" s="1"/>
      <c r="T36" s="2"/>
      <c r="U36" s="2"/>
      <c r="V36" s="2"/>
    </row>
    <row r="37" spans="1:22" x14ac:dyDescent="0.35">
      <c r="A37" s="2"/>
      <c r="B37" s="4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2"/>
      <c r="U37" s="2"/>
      <c r="V37" s="2"/>
    </row>
    <row r="38" spans="1:22" x14ac:dyDescent="0.35">
      <c r="A38" s="2"/>
      <c r="B38" s="4"/>
      <c r="C38" s="3"/>
      <c r="D38" s="2"/>
      <c r="E38" s="2"/>
      <c r="F38" s="2"/>
      <c r="G38" s="3"/>
      <c r="H38" s="2"/>
      <c r="I38" s="2"/>
      <c r="J38" s="3"/>
      <c r="K38" s="3"/>
      <c r="L38" s="2"/>
      <c r="M38" s="3"/>
      <c r="N38" s="3"/>
      <c r="O38" s="3"/>
      <c r="P38" s="3"/>
      <c r="Q38" s="3"/>
      <c r="R38" s="3"/>
      <c r="S38" s="3"/>
      <c r="T38" s="2"/>
      <c r="U38" s="2"/>
      <c r="V38" s="2"/>
    </row>
    <row r="39" spans="1:22" x14ac:dyDescent="0.35">
      <c r="A39" s="2"/>
      <c r="B39" s="4"/>
      <c r="C39" s="2"/>
      <c r="D39" s="2"/>
      <c r="E39" s="2"/>
      <c r="F39" s="2"/>
      <c r="G39" s="2"/>
      <c r="H39" s="2"/>
      <c r="I39" s="2"/>
      <c r="J39" s="2"/>
      <c r="K39" s="3"/>
      <c r="L39" s="2"/>
      <c r="M39" s="3"/>
      <c r="N39" s="3"/>
      <c r="O39" s="3"/>
      <c r="Q39" s="2" t="s">
        <v>17</v>
      </c>
      <c r="R39" s="2" t="s">
        <v>16</v>
      </c>
      <c r="S39" s="2" t="s">
        <v>18</v>
      </c>
    </row>
    <row r="40" spans="1:22" x14ac:dyDescent="0.35">
      <c r="A40" s="2"/>
      <c r="B40" s="4" t="s">
        <v>16</v>
      </c>
      <c r="C40" s="2">
        <f>AVERAGE(C23:C39)</f>
        <v>1.1990000000000001</v>
      </c>
      <c r="D40" s="2">
        <f t="shared" ref="D40" si="6">AVERAGE(D23:D39)</f>
        <v>1.1940000000000002</v>
      </c>
      <c r="E40" s="2">
        <f t="shared" ref="E40" si="7">AVERAGE(E23:E39)</f>
        <v>1.3122222222222222</v>
      </c>
      <c r="F40" s="2">
        <f t="shared" ref="F40" si="8">AVERAGE(F23:F39)</f>
        <v>1.4424999999999999</v>
      </c>
      <c r="G40" s="2">
        <f t="shared" ref="G40" si="9">AVERAGE(G23:G39)</f>
        <v>1.4874999999999998</v>
      </c>
      <c r="H40" s="2">
        <f t="shared" ref="H40" si="10">AVERAGE(H23:H39)</f>
        <v>1.115</v>
      </c>
      <c r="I40" s="2">
        <f t="shared" ref="I40" si="11">AVERAGE(I23:I39)</f>
        <v>1.1729999999999998</v>
      </c>
      <c r="J40" s="2">
        <f t="shared" ref="J40" si="12">AVERAGE(J23:J39)</f>
        <v>1.1719999999999999</v>
      </c>
      <c r="K40" s="2">
        <f t="shared" ref="K40" si="13">AVERAGE(K23:K39)</f>
        <v>1.1859999999999999</v>
      </c>
      <c r="L40" s="2">
        <f t="shared" ref="L40" si="14">AVERAGE(L23:L39)</f>
        <v>1.1875</v>
      </c>
      <c r="M40" s="2">
        <f t="shared" ref="M40" si="15">AVERAGE(M23:M39)</f>
        <v>1.26</v>
      </c>
      <c r="N40" s="2">
        <f t="shared" ref="N40:O40" si="16">AVERAGE(N23:N39)</f>
        <v>1.1499999999999997</v>
      </c>
      <c r="O40" s="2">
        <f t="shared" si="16"/>
        <v>1.1044444444444443</v>
      </c>
      <c r="Q40" s="2">
        <f>STDEV(C40:O40)</f>
        <v>0.11801159882178347</v>
      </c>
      <c r="R40" s="2">
        <f>AVERAGE(C40:O40)</f>
        <v>1.2294743589743591</v>
      </c>
      <c r="S40" s="2">
        <f>Q40/R40</f>
        <v>9.5985408691426494E-2</v>
      </c>
    </row>
    <row r="41" spans="1:22" x14ac:dyDescent="0.35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3" spans="1:22" x14ac:dyDescent="0.35">
      <c r="A43" s="2" t="s">
        <v>0</v>
      </c>
      <c r="B43" s="4" t="s">
        <v>15</v>
      </c>
      <c r="C43" s="2" t="s">
        <v>4</v>
      </c>
      <c r="D43" s="2" t="s">
        <v>22</v>
      </c>
      <c r="E43" s="2" t="s">
        <v>24</v>
      </c>
      <c r="F43" s="2" t="s">
        <v>26</v>
      </c>
      <c r="G43" s="2" t="s">
        <v>27</v>
      </c>
      <c r="H43" s="2" t="s">
        <v>29</v>
      </c>
      <c r="I43" s="2" t="s">
        <v>31</v>
      </c>
      <c r="J43" s="2" t="s">
        <v>37</v>
      </c>
      <c r="K43" s="2" t="s">
        <v>40</v>
      </c>
      <c r="L43" s="2" t="s">
        <v>38</v>
      </c>
      <c r="M43" s="2" t="s">
        <v>32</v>
      </c>
      <c r="N43" s="2" t="s">
        <v>35</v>
      </c>
      <c r="O43" s="2" t="s">
        <v>36</v>
      </c>
      <c r="P43" s="2"/>
      <c r="R43" s="2"/>
      <c r="S43" s="2"/>
    </row>
    <row r="44" spans="1:22" x14ac:dyDescent="0.35">
      <c r="A44" s="2" t="s">
        <v>1</v>
      </c>
      <c r="B44" s="5">
        <v>3</v>
      </c>
      <c r="C44" s="1">
        <v>0.78</v>
      </c>
      <c r="D44" s="1">
        <v>0.62</v>
      </c>
      <c r="E44" s="1">
        <v>0.71</v>
      </c>
      <c r="F44" s="1">
        <v>0.54</v>
      </c>
      <c r="G44" s="1">
        <v>0.52</v>
      </c>
      <c r="H44" s="1">
        <v>0.44</v>
      </c>
      <c r="I44" s="1">
        <v>0.46</v>
      </c>
      <c r="J44" s="1">
        <v>0.8</v>
      </c>
      <c r="K44" s="1">
        <v>0.49</v>
      </c>
      <c r="L44" s="1">
        <v>0.78</v>
      </c>
      <c r="M44" s="1">
        <v>0.87</v>
      </c>
      <c r="N44" s="1">
        <v>1.1000000000000001</v>
      </c>
      <c r="O44" s="1">
        <v>0.88</v>
      </c>
      <c r="P44" s="1"/>
      <c r="Q44" s="1"/>
      <c r="R44" s="1"/>
      <c r="S44" s="1"/>
      <c r="T44" s="8">
        <f>COUNT(C44:R60)</f>
        <v>114</v>
      </c>
    </row>
    <row r="45" spans="1:22" x14ac:dyDescent="0.35">
      <c r="A45" s="2"/>
      <c r="B45" s="4"/>
      <c r="C45" s="1">
        <v>1.18</v>
      </c>
      <c r="D45" s="1">
        <v>1.1200000000000001</v>
      </c>
      <c r="E45" s="1">
        <v>1.37</v>
      </c>
      <c r="F45" s="1">
        <v>1.08</v>
      </c>
      <c r="G45" s="1">
        <v>1.08</v>
      </c>
      <c r="H45" s="1">
        <v>0.78</v>
      </c>
      <c r="I45" s="1">
        <v>1</v>
      </c>
      <c r="J45" s="1">
        <v>1.24</v>
      </c>
      <c r="K45" s="1">
        <v>1.08</v>
      </c>
      <c r="L45" s="1">
        <v>1.29</v>
      </c>
      <c r="M45" s="1">
        <v>1.22</v>
      </c>
      <c r="N45" s="1">
        <v>1.3</v>
      </c>
      <c r="O45" s="1">
        <v>1.22</v>
      </c>
      <c r="P45" s="1"/>
      <c r="Q45" s="1"/>
      <c r="R45" s="1"/>
      <c r="S45" s="1"/>
    </row>
    <row r="46" spans="1:22" x14ac:dyDescent="0.35">
      <c r="A46" s="2"/>
      <c r="B46" s="4"/>
      <c r="C46" s="1">
        <v>1.26</v>
      </c>
      <c r="D46" s="1">
        <v>1.48</v>
      </c>
      <c r="E46" s="1">
        <v>1.62</v>
      </c>
      <c r="F46" s="1">
        <v>1.51</v>
      </c>
      <c r="G46" s="1">
        <v>1.49</v>
      </c>
      <c r="H46" s="1">
        <v>1.0900000000000001</v>
      </c>
      <c r="I46" s="1">
        <v>1.28</v>
      </c>
      <c r="J46" s="1">
        <v>1.45</v>
      </c>
      <c r="K46" s="1">
        <v>1.24</v>
      </c>
      <c r="L46" s="1">
        <v>1.4</v>
      </c>
      <c r="M46" s="1">
        <v>1.38</v>
      </c>
      <c r="N46" s="1">
        <v>1.39</v>
      </c>
      <c r="O46" s="1">
        <v>1.2</v>
      </c>
      <c r="P46" s="1"/>
      <c r="Q46" s="1"/>
      <c r="R46" s="1"/>
      <c r="S46" s="1"/>
    </row>
    <row r="47" spans="1:22" x14ac:dyDescent="0.35">
      <c r="A47" s="2"/>
      <c r="B47" s="4"/>
      <c r="C47" s="1">
        <v>1.19</v>
      </c>
      <c r="D47" s="1">
        <v>1.57</v>
      </c>
      <c r="E47" s="1">
        <v>1.6</v>
      </c>
      <c r="F47" s="1">
        <v>1.6</v>
      </c>
      <c r="G47" s="1">
        <v>1.58</v>
      </c>
      <c r="H47" s="1">
        <v>1.29</v>
      </c>
      <c r="I47" s="1">
        <v>1.44</v>
      </c>
      <c r="J47" s="1">
        <v>1.51</v>
      </c>
      <c r="K47" s="1">
        <v>1.28</v>
      </c>
      <c r="L47" s="1">
        <v>1.4</v>
      </c>
      <c r="M47" s="1">
        <v>1.4</v>
      </c>
      <c r="N47" s="1">
        <v>1.3</v>
      </c>
      <c r="O47" s="1">
        <v>1.2</v>
      </c>
      <c r="P47" s="1"/>
      <c r="Q47" s="1"/>
      <c r="R47" s="1"/>
      <c r="S47" s="1"/>
    </row>
    <row r="48" spans="1:22" x14ac:dyDescent="0.35">
      <c r="A48" s="2"/>
      <c r="B48" s="4"/>
      <c r="C48" s="1">
        <v>1.1399999999999999</v>
      </c>
      <c r="D48" s="1">
        <v>1.6</v>
      </c>
      <c r="E48" s="1">
        <v>1.58</v>
      </c>
      <c r="F48" s="1">
        <v>1.62</v>
      </c>
      <c r="G48" s="1">
        <v>1.61</v>
      </c>
      <c r="H48" s="1">
        <v>1.33</v>
      </c>
      <c r="I48" s="1">
        <v>1.51</v>
      </c>
      <c r="J48" s="1">
        <v>1.56</v>
      </c>
      <c r="K48" s="1">
        <v>1.29</v>
      </c>
      <c r="L48" s="1">
        <v>1.35</v>
      </c>
      <c r="M48" s="1">
        <v>1.41</v>
      </c>
      <c r="N48" s="1">
        <v>1.3</v>
      </c>
      <c r="O48" s="1">
        <v>1.2</v>
      </c>
      <c r="P48" s="1"/>
      <c r="Q48" s="1"/>
      <c r="R48" s="1"/>
      <c r="S48" s="1"/>
    </row>
    <row r="49" spans="1:19" x14ac:dyDescent="0.35">
      <c r="A49" s="2"/>
      <c r="B49" s="4"/>
      <c r="C49" s="1">
        <v>1.1000000000000001</v>
      </c>
      <c r="D49" s="1">
        <v>1.58</v>
      </c>
      <c r="E49" s="1">
        <v>1.6</v>
      </c>
      <c r="F49" s="1">
        <v>1.57</v>
      </c>
      <c r="G49" s="1">
        <v>1.58</v>
      </c>
      <c r="H49" s="1">
        <v>1.38</v>
      </c>
      <c r="I49" s="1">
        <v>1.53</v>
      </c>
      <c r="J49" s="1">
        <v>1.55</v>
      </c>
      <c r="K49" s="1">
        <v>1.28</v>
      </c>
      <c r="L49" s="1">
        <v>1.33</v>
      </c>
      <c r="M49" s="1">
        <v>1.37</v>
      </c>
      <c r="N49" s="1">
        <v>1.28</v>
      </c>
      <c r="O49" s="1">
        <v>1.17</v>
      </c>
      <c r="P49" s="1"/>
      <c r="Q49" s="1"/>
      <c r="R49" s="1"/>
      <c r="S49" s="1"/>
    </row>
    <row r="50" spans="1:19" x14ac:dyDescent="0.35">
      <c r="A50" s="2"/>
      <c r="B50" s="4"/>
      <c r="C50" s="1">
        <v>1.1000000000000001</v>
      </c>
      <c r="D50" s="1">
        <v>1.58</v>
      </c>
      <c r="E50" s="1">
        <v>1.55</v>
      </c>
      <c r="F50" s="1">
        <v>1.54</v>
      </c>
      <c r="G50" s="1">
        <v>1.6</v>
      </c>
      <c r="H50" s="1">
        <v>1.39</v>
      </c>
      <c r="I50" s="1">
        <v>1.49</v>
      </c>
      <c r="J50" s="1">
        <v>1.51</v>
      </c>
      <c r="K50" s="1">
        <v>1.36</v>
      </c>
      <c r="L50" s="1">
        <v>1.33</v>
      </c>
      <c r="M50" s="1">
        <v>1.36</v>
      </c>
      <c r="N50" s="1">
        <v>1.27</v>
      </c>
      <c r="O50" s="1">
        <v>1.17</v>
      </c>
      <c r="P50" s="1"/>
      <c r="Q50" s="1"/>
      <c r="R50" s="1"/>
      <c r="S50" s="1"/>
    </row>
    <row r="51" spans="1:19" x14ac:dyDescent="0.35">
      <c r="A51" s="2"/>
      <c r="B51" s="4"/>
      <c r="C51" s="1">
        <v>1.08</v>
      </c>
      <c r="D51" s="1">
        <v>0.53</v>
      </c>
      <c r="E51" s="1">
        <v>1.22</v>
      </c>
      <c r="F51" s="1">
        <v>1.41</v>
      </c>
      <c r="G51" s="1">
        <v>1.5</v>
      </c>
      <c r="H51" s="1">
        <v>1.43</v>
      </c>
      <c r="I51" s="1">
        <v>1.49</v>
      </c>
      <c r="J51" s="1">
        <v>1.34</v>
      </c>
      <c r="K51" s="1">
        <v>1.32</v>
      </c>
      <c r="L51" s="1">
        <v>0.74</v>
      </c>
      <c r="M51" s="1">
        <v>1.24</v>
      </c>
      <c r="N51" s="1">
        <v>0.16</v>
      </c>
      <c r="O51" s="1">
        <v>0.68</v>
      </c>
      <c r="P51" s="1"/>
      <c r="Q51" s="1"/>
      <c r="R51" s="1"/>
      <c r="S51" s="1"/>
    </row>
    <row r="52" spans="1:19" x14ac:dyDescent="0.35">
      <c r="A52" s="2"/>
      <c r="B52" s="4"/>
      <c r="C52" s="1">
        <v>1.06</v>
      </c>
      <c r="D52" s="1">
        <v>0.64</v>
      </c>
      <c r="E52" s="1">
        <v>0.31</v>
      </c>
      <c r="F52" s="1">
        <v>0.65</v>
      </c>
      <c r="G52" s="1">
        <v>0.68</v>
      </c>
      <c r="H52" s="1">
        <v>1.3</v>
      </c>
      <c r="I52" s="1">
        <v>1.2</v>
      </c>
      <c r="J52" s="1">
        <v>0.5</v>
      </c>
      <c r="K52" s="1">
        <v>0.47</v>
      </c>
      <c r="L52" s="1"/>
      <c r="M52" s="1"/>
      <c r="N52" s="1"/>
      <c r="O52" s="1"/>
      <c r="P52" s="1"/>
      <c r="Q52" s="1"/>
      <c r="R52" s="1"/>
      <c r="S52" s="1"/>
    </row>
    <row r="53" spans="1:19" x14ac:dyDescent="0.35">
      <c r="A53" s="2"/>
      <c r="B53" s="4"/>
      <c r="C53" s="1">
        <v>0.63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</row>
    <row r="54" spans="1:19" x14ac:dyDescent="0.35">
      <c r="A54" s="2"/>
      <c r="B54" s="4"/>
      <c r="C54" s="1"/>
      <c r="D54" s="3"/>
      <c r="E54" s="3"/>
      <c r="F54" s="1"/>
      <c r="G54" s="1"/>
      <c r="H54" s="3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</row>
    <row r="55" spans="1:19" x14ac:dyDescent="0.35">
      <c r="A55" s="2"/>
      <c r="B55" s="4"/>
      <c r="C55" s="1"/>
      <c r="D55" s="3"/>
      <c r="E55" s="3"/>
      <c r="F55" s="1"/>
      <c r="G55" s="1"/>
      <c r="H55" s="3"/>
      <c r="I55" s="1"/>
      <c r="J55" s="3"/>
      <c r="K55" s="1"/>
      <c r="L55" s="1"/>
      <c r="M55" s="1"/>
      <c r="N55" s="1"/>
      <c r="O55" s="1"/>
      <c r="P55" s="1"/>
      <c r="Q55" s="1"/>
      <c r="R55" s="1"/>
      <c r="S55" s="1"/>
    </row>
    <row r="56" spans="1:19" x14ac:dyDescent="0.35">
      <c r="A56" s="2"/>
      <c r="B56" s="4"/>
      <c r="C56" s="3"/>
      <c r="D56" s="3"/>
      <c r="E56" s="3"/>
      <c r="F56" s="3"/>
      <c r="G56" s="3"/>
      <c r="H56" s="3"/>
      <c r="I56" s="1"/>
      <c r="J56" s="3"/>
      <c r="K56" s="3"/>
      <c r="L56" s="3"/>
      <c r="M56" s="1"/>
      <c r="N56" s="1"/>
      <c r="O56" s="1"/>
      <c r="P56" s="1"/>
      <c r="Q56" s="1"/>
      <c r="R56" s="1"/>
      <c r="S56" s="1"/>
    </row>
    <row r="57" spans="1:19" x14ac:dyDescent="0.35">
      <c r="A57" s="2"/>
      <c r="B57" s="4"/>
      <c r="C57" s="3"/>
      <c r="D57" s="3"/>
      <c r="E57" s="3"/>
      <c r="F57" s="3"/>
      <c r="G57" s="3"/>
      <c r="H57" s="3"/>
      <c r="I57" s="3"/>
      <c r="J57" s="3"/>
      <c r="K57" s="3"/>
      <c r="L57" s="3"/>
      <c r="M57" s="1"/>
      <c r="N57" s="1"/>
      <c r="O57" s="1"/>
      <c r="P57" s="1"/>
      <c r="Q57" s="1"/>
      <c r="R57" s="1"/>
      <c r="S57" s="1"/>
    </row>
    <row r="58" spans="1:19" x14ac:dyDescent="0.35">
      <c r="A58" s="2"/>
      <c r="B58" s="4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spans="1:19" x14ac:dyDescent="0.35">
      <c r="A59" s="2"/>
      <c r="B59" s="4"/>
      <c r="C59" s="3"/>
      <c r="D59" s="2"/>
      <c r="E59" s="2"/>
      <c r="F59" s="2"/>
      <c r="G59" s="3"/>
      <c r="H59" s="2"/>
      <c r="I59" s="2"/>
      <c r="J59" s="3"/>
      <c r="K59" s="3"/>
      <c r="L59" s="2"/>
      <c r="M59" s="3"/>
      <c r="N59" s="3"/>
      <c r="O59" s="3"/>
      <c r="P59" s="3"/>
      <c r="Q59" s="3"/>
      <c r="R59" s="3"/>
      <c r="S59" s="3"/>
    </row>
    <row r="60" spans="1:19" x14ac:dyDescent="0.35">
      <c r="A60" s="2"/>
      <c r="B60" s="4"/>
      <c r="C60" s="2"/>
      <c r="D60" s="2"/>
      <c r="E60" s="2"/>
      <c r="F60" s="2"/>
      <c r="G60" s="2"/>
      <c r="H60" s="2"/>
      <c r="I60" s="2"/>
      <c r="J60" s="2"/>
      <c r="K60" s="3"/>
      <c r="L60" s="2"/>
      <c r="M60" s="3"/>
      <c r="N60" s="3"/>
      <c r="O60" s="3"/>
      <c r="Q60" s="2" t="s">
        <v>17</v>
      </c>
      <c r="R60" s="2" t="s">
        <v>16</v>
      </c>
      <c r="S60" s="2" t="s">
        <v>18</v>
      </c>
    </row>
    <row r="61" spans="1:19" x14ac:dyDescent="0.35">
      <c r="A61" s="2"/>
      <c r="B61" s="4" t="s">
        <v>16</v>
      </c>
      <c r="C61" s="2">
        <f>AVERAGE(C44:C60)</f>
        <v>1.052</v>
      </c>
      <c r="D61" s="2">
        <f t="shared" ref="D61" si="17">AVERAGE(D44:D60)</f>
        <v>1.1911111111111112</v>
      </c>
      <c r="E61" s="2">
        <f t="shared" ref="E61" si="18">AVERAGE(E44:E60)</f>
        <v>1.2844444444444447</v>
      </c>
      <c r="F61" s="2">
        <f t="shared" ref="F61" si="19">AVERAGE(F44:F60)</f>
        <v>1.2800000000000002</v>
      </c>
      <c r="G61" s="2">
        <f t="shared" ref="G61" si="20">AVERAGE(G44:G60)</f>
        <v>1.2933333333333334</v>
      </c>
      <c r="H61" s="2">
        <f t="shared" ref="H61" si="21">AVERAGE(H44:H60)</f>
        <v>1.1588888888888889</v>
      </c>
      <c r="I61" s="2">
        <f t="shared" ref="I61" si="22">AVERAGE(I44:I60)</f>
        <v>1.2666666666666666</v>
      </c>
      <c r="J61" s="2">
        <f t="shared" ref="J61" si="23">AVERAGE(J44:J60)</f>
        <v>1.2733333333333334</v>
      </c>
      <c r="K61" s="2">
        <f t="shared" ref="K61" si="24">AVERAGE(K44:K60)</f>
        <v>1.0900000000000001</v>
      </c>
      <c r="L61" s="2">
        <f t="shared" ref="L61" si="25">AVERAGE(L44:L60)</f>
        <v>1.2025000000000001</v>
      </c>
      <c r="M61" s="2">
        <f t="shared" ref="M61" si="26">AVERAGE(M44:M60)</f>
        <v>1.28125</v>
      </c>
      <c r="N61" s="2">
        <f t="shared" ref="N61" si="27">AVERAGE(N44:N60)</f>
        <v>1.1375</v>
      </c>
      <c r="O61" s="2">
        <f t="shared" ref="O61" si="28">AVERAGE(O44:O60)</f>
        <v>1.0899999999999999</v>
      </c>
      <c r="Q61" s="2">
        <f>STDEV(C61:O61)</f>
        <v>8.6819407669693899E-2</v>
      </c>
      <c r="R61" s="2">
        <f>AVERAGE(C61:O61)</f>
        <v>1.2000790598290598</v>
      </c>
      <c r="S61" s="2">
        <f>Q61/R61</f>
        <v>7.2344740089090892E-2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93338-5E84-4185-BEB5-EFA9A20C89F1}">
  <dimension ref="A1:R61"/>
  <sheetViews>
    <sheetView workbookViewId="0">
      <selection activeCell="R18" sqref="R18:R19"/>
    </sheetView>
  </sheetViews>
  <sheetFormatPr defaultRowHeight="14.5" x14ac:dyDescent="0.35"/>
  <sheetData>
    <row r="1" spans="1:17" x14ac:dyDescent="0.35">
      <c r="A1" s="2" t="s">
        <v>0</v>
      </c>
      <c r="B1" s="4" t="s">
        <v>15</v>
      </c>
      <c r="C1" s="2" t="s">
        <v>4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2"/>
      <c r="P1" s="2"/>
      <c r="Q1" s="2"/>
    </row>
    <row r="2" spans="1:17" x14ac:dyDescent="0.35">
      <c r="A2" s="2" t="s">
        <v>3</v>
      </c>
      <c r="B2" s="5">
        <v>1</v>
      </c>
      <c r="C2" s="1">
        <v>1.42</v>
      </c>
      <c r="D2" s="1">
        <v>0.66</v>
      </c>
      <c r="E2" s="1">
        <v>0.59</v>
      </c>
      <c r="F2" s="1">
        <v>0.53</v>
      </c>
      <c r="G2" s="1">
        <v>0.65</v>
      </c>
      <c r="H2" s="1">
        <v>0.46</v>
      </c>
      <c r="I2" s="1">
        <v>0.56999999999999995</v>
      </c>
      <c r="J2" s="1">
        <v>0.68</v>
      </c>
      <c r="K2" s="1">
        <v>0.65</v>
      </c>
      <c r="L2" s="1">
        <v>0.55000000000000004</v>
      </c>
      <c r="M2" s="1">
        <v>0.98</v>
      </c>
      <c r="N2" s="1"/>
      <c r="O2" s="1"/>
      <c r="P2" s="1"/>
      <c r="Q2" s="1"/>
    </row>
    <row r="3" spans="1:17" x14ac:dyDescent="0.35">
      <c r="A3" s="2"/>
      <c r="B3" s="4"/>
      <c r="C3" s="1">
        <v>1.43</v>
      </c>
      <c r="D3" s="1">
        <v>0.98</v>
      </c>
      <c r="E3" s="1">
        <v>0.82</v>
      </c>
      <c r="F3" s="1">
        <v>0.84</v>
      </c>
      <c r="G3" s="1">
        <v>0.86</v>
      </c>
      <c r="H3" s="1">
        <v>0.88</v>
      </c>
      <c r="I3" s="1">
        <v>1.02</v>
      </c>
      <c r="J3" s="1">
        <v>0.85</v>
      </c>
      <c r="K3" s="1">
        <v>0.94</v>
      </c>
      <c r="L3" s="1">
        <v>0.9</v>
      </c>
      <c r="M3" s="1">
        <v>1.1599999999999999</v>
      </c>
      <c r="N3" s="1"/>
      <c r="O3" s="1"/>
      <c r="P3" s="1"/>
      <c r="Q3" s="1"/>
    </row>
    <row r="4" spans="1:17" x14ac:dyDescent="0.35">
      <c r="A4" s="2"/>
      <c r="B4" s="4"/>
      <c r="C4" s="1">
        <v>1.43</v>
      </c>
      <c r="D4" s="1">
        <v>1.1599999999999999</v>
      </c>
      <c r="E4" s="1">
        <v>0.94</v>
      </c>
      <c r="F4" s="1">
        <v>1.1399999999999999</v>
      </c>
      <c r="G4" s="1">
        <v>1</v>
      </c>
      <c r="H4" s="1">
        <v>1.06</v>
      </c>
      <c r="I4" s="1">
        <v>1.22</v>
      </c>
      <c r="J4" s="1">
        <v>0.84</v>
      </c>
      <c r="K4" s="1">
        <v>0.9</v>
      </c>
      <c r="L4" s="1">
        <v>1.1000000000000001</v>
      </c>
      <c r="M4" s="1">
        <v>1.1000000000000001</v>
      </c>
      <c r="N4" s="1"/>
      <c r="O4" s="1"/>
      <c r="P4" s="1"/>
      <c r="Q4" s="1"/>
    </row>
    <row r="5" spans="1:17" x14ac:dyDescent="0.35">
      <c r="A5" s="2"/>
      <c r="B5" s="4"/>
      <c r="C5" s="1">
        <v>1.43</v>
      </c>
      <c r="D5" s="1">
        <v>1.1599999999999999</v>
      </c>
      <c r="E5" s="1">
        <v>1.08</v>
      </c>
      <c r="F5" s="1">
        <v>1.1499999999999999</v>
      </c>
      <c r="G5" s="1">
        <v>1.1000000000000001</v>
      </c>
      <c r="H5" s="1">
        <v>1.1599999999999999</v>
      </c>
      <c r="I5" s="1">
        <v>1.33</v>
      </c>
      <c r="J5" s="1">
        <v>0.95</v>
      </c>
      <c r="K5" s="1">
        <v>1.1399999999999999</v>
      </c>
      <c r="L5" s="1">
        <v>1.17</v>
      </c>
      <c r="M5" s="1">
        <v>1.1299999999999999</v>
      </c>
      <c r="N5" s="1"/>
      <c r="O5" s="1"/>
      <c r="P5" s="1"/>
      <c r="Q5" s="1"/>
    </row>
    <row r="6" spans="1:17" x14ac:dyDescent="0.35">
      <c r="A6" s="2"/>
      <c r="B6" s="4"/>
      <c r="C6" s="1">
        <v>1.43</v>
      </c>
      <c r="D6" s="1">
        <v>1.17</v>
      </c>
      <c r="E6" s="1">
        <v>1.06</v>
      </c>
      <c r="F6" s="1">
        <v>1.23</v>
      </c>
      <c r="G6" s="1">
        <v>1.0900000000000001</v>
      </c>
      <c r="H6" s="1">
        <v>1.1200000000000001</v>
      </c>
      <c r="I6" s="1">
        <v>1.26</v>
      </c>
      <c r="J6" s="1">
        <v>0.93</v>
      </c>
      <c r="K6" s="1">
        <v>1.1399999999999999</v>
      </c>
      <c r="L6" s="1">
        <v>1.18</v>
      </c>
      <c r="M6" s="1">
        <v>1.1200000000000001</v>
      </c>
      <c r="N6" s="1"/>
      <c r="O6" s="1"/>
      <c r="P6" s="1"/>
      <c r="Q6" s="1"/>
    </row>
    <row r="7" spans="1:17" x14ac:dyDescent="0.35">
      <c r="A7" s="2"/>
      <c r="B7" s="4"/>
      <c r="C7" s="1">
        <v>1.43</v>
      </c>
      <c r="D7" s="1">
        <v>1.1599999999999999</v>
      </c>
      <c r="E7" s="1">
        <v>1.08</v>
      </c>
      <c r="F7" s="1">
        <v>1.23</v>
      </c>
      <c r="G7" s="1">
        <v>1.1100000000000001</v>
      </c>
      <c r="H7" s="1">
        <v>1.1599999999999999</v>
      </c>
      <c r="I7" s="1">
        <v>1.21</v>
      </c>
      <c r="J7" s="1">
        <v>0.91</v>
      </c>
      <c r="K7" s="1">
        <v>0.98</v>
      </c>
      <c r="L7" s="1">
        <v>1.18</v>
      </c>
      <c r="M7" s="1">
        <v>1.08</v>
      </c>
      <c r="N7" s="1"/>
      <c r="O7" s="1"/>
      <c r="P7" s="1"/>
      <c r="Q7" s="1"/>
    </row>
    <row r="8" spans="1:17" x14ac:dyDescent="0.35">
      <c r="A8" s="2"/>
      <c r="B8" s="4"/>
      <c r="C8" s="1">
        <v>1.43</v>
      </c>
      <c r="D8" s="1">
        <v>1.26</v>
      </c>
      <c r="E8" s="1">
        <v>1.19</v>
      </c>
      <c r="F8" s="1">
        <v>1.26</v>
      </c>
      <c r="G8" s="1">
        <v>1.0900000000000001</v>
      </c>
      <c r="H8" s="1">
        <v>1.1200000000000001</v>
      </c>
      <c r="I8" s="1">
        <v>1.24</v>
      </c>
      <c r="J8" s="1">
        <v>0.98</v>
      </c>
      <c r="K8" s="1">
        <v>0.94</v>
      </c>
      <c r="L8" s="1">
        <v>1.1299999999999999</v>
      </c>
      <c r="M8" s="1">
        <v>1.17</v>
      </c>
      <c r="N8" s="1"/>
      <c r="O8" s="1"/>
      <c r="P8" s="1"/>
      <c r="Q8" s="1"/>
    </row>
    <row r="9" spans="1:17" x14ac:dyDescent="0.35">
      <c r="A9" s="2"/>
      <c r="B9" s="4"/>
      <c r="C9" s="1">
        <v>1.44</v>
      </c>
      <c r="D9" s="1">
        <v>1.24</v>
      </c>
      <c r="E9" s="1">
        <v>1.27</v>
      </c>
      <c r="F9" s="1">
        <v>1.2</v>
      </c>
      <c r="G9" s="1">
        <v>1.06</v>
      </c>
      <c r="H9" s="1">
        <v>1.1399999999999999</v>
      </c>
      <c r="I9" s="1">
        <v>1.1399999999999999</v>
      </c>
      <c r="J9" s="1">
        <v>0.98</v>
      </c>
      <c r="K9" s="1">
        <v>1.04</v>
      </c>
      <c r="L9" s="1">
        <v>1.04</v>
      </c>
      <c r="M9" s="1">
        <v>1.1299999999999999</v>
      </c>
      <c r="N9" s="1"/>
      <c r="O9" s="1"/>
      <c r="P9" s="1"/>
      <c r="Q9" s="1"/>
    </row>
    <row r="10" spans="1:17" x14ac:dyDescent="0.35">
      <c r="A10" s="2"/>
      <c r="B10" s="4"/>
      <c r="C10" s="1">
        <v>1.43</v>
      </c>
      <c r="D10" s="1">
        <v>1.26</v>
      </c>
      <c r="E10" s="1">
        <v>1.1599999999999999</v>
      </c>
      <c r="F10" s="1">
        <v>1.1599999999999999</v>
      </c>
      <c r="G10" s="1">
        <v>0.97</v>
      </c>
      <c r="H10" s="1">
        <v>0.99</v>
      </c>
      <c r="I10" s="1">
        <v>0.98</v>
      </c>
      <c r="J10" s="1">
        <v>1.04</v>
      </c>
      <c r="K10" s="1">
        <v>0.96</v>
      </c>
      <c r="L10" s="1">
        <v>0.7</v>
      </c>
      <c r="M10" s="1">
        <v>0.6</v>
      </c>
      <c r="N10" s="1"/>
      <c r="O10" s="1"/>
      <c r="P10" s="1"/>
      <c r="Q10" s="1"/>
    </row>
    <row r="11" spans="1:17" x14ac:dyDescent="0.35">
      <c r="A11" s="2"/>
      <c r="B11" s="4"/>
      <c r="C11" s="1"/>
      <c r="D11" s="1">
        <v>1.34</v>
      </c>
      <c r="E11" s="1">
        <v>1.1200000000000001</v>
      </c>
      <c r="F11" s="1">
        <v>1.1599999999999999</v>
      </c>
      <c r="G11" s="1">
        <v>0.78</v>
      </c>
      <c r="H11" s="1">
        <v>0.45</v>
      </c>
      <c r="I11" s="1">
        <v>0.65</v>
      </c>
      <c r="J11" s="1">
        <v>1.08</v>
      </c>
      <c r="K11" s="1">
        <v>0.79</v>
      </c>
      <c r="L11" s="1"/>
      <c r="M11" s="1"/>
      <c r="N11" s="1"/>
      <c r="O11" s="1"/>
      <c r="P11" s="1"/>
      <c r="Q11" s="1"/>
    </row>
    <row r="12" spans="1:17" x14ac:dyDescent="0.35">
      <c r="A12" s="2"/>
      <c r="B12" s="4"/>
      <c r="C12" s="1"/>
      <c r="D12" s="1">
        <v>1.28</v>
      </c>
      <c r="E12" s="1">
        <v>1.1399999999999999</v>
      </c>
      <c r="F12" s="1">
        <v>1.1200000000000001</v>
      </c>
      <c r="G12" s="1">
        <v>0.51</v>
      </c>
      <c r="H12" s="3"/>
      <c r="I12" s="1">
        <v>0.26</v>
      </c>
      <c r="J12" s="1">
        <v>0.76</v>
      </c>
      <c r="K12" s="1">
        <v>0.48</v>
      </c>
      <c r="L12" s="1"/>
      <c r="M12" s="1"/>
      <c r="N12" s="1"/>
      <c r="O12" s="1"/>
      <c r="P12" s="1"/>
      <c r="Q12" s="1"/>
    </row>
    <row r="13" spans="1:17" x14ac:dyDescent="0.35">
      <c r="A13" s="2"/>
      <c r="B13" s="4"/>
      <c r="C13" s="1"/>
      <c r="D13" s="1">
        <v>0.98</v>
      </c>
      <c r="E13" s="1">
        <v>0.98</v>
      </c>
      <c r="F13" s="1">
        <v>0.8</v>
      </c>
      <c r="G13" s="1"/>
      <c r="H13" s="3"/>
      <c r="I13" s="1"/>
      <c r="J13" s="3"/>
      <c r="K13" s="1"/>
      <c r="L13" s="1"/>
      <c r="M13" s="1"/>
      <c r="N13" s="1"/>
      <c r="O13" s="1"/>
      <c r="P13" s="1"/>
      <c r="Q13" s="1"/>
    </row>
    <row r="14" spans="1:17" x14ac:dyDescent="0.35">
      <c r="A14" s="2"/>
      <c r="B14" s="4"/>
      <c r="C14" s="3"/>
      <c r="D14" s="3"/>
      <c r="E14" s="1">
        <v>0.67</v>
      </c>
      <c r="F14" s="1">
        <v>0.7</v>
      </c>
      <c r="G14" s="3"/>
      <c r="H14" s="3"/>
      <c r="I14" s="1"/>
      <c r="J14" s="3"/>
      <c r="K14" s="3"/>
      <c r="L14" s="3"/>
      <c r="M14" s="1"/>
      <c r="N14" s="1"/>
      <c r="O14" s="1"/>
      <c r="P14" s="1"/>
      <c r="Q14" s="1"/>
    </row>
    <row r="15" spans="1:17" x14ac:dyDescent="0.35">
      <c r="A15" s="2"/>
      <c r="B15" s="4"/>
      <c r="C15" s="3"/>
      <c r="D15" s="3"/>
      <c r="E15" s="1">
        <v>0.46</v>
      </c>
      <c r="F15" s="3"/>
      <c r="G15" s="3"/>
      <c r="H15" s="3"/>
      <c r="I15" s="3"/>
      <c r="J15" s="3"/>
      <c r="K15" s="3"/>
      <c r="L15" s="3"/>
      <c r="M15" s="1"/>
      <c r="N15" s="1"/>
      <c r="O15" s="1"/>
      <c r="P15" s="1"/>
      <c r="Q15" s="1"/>
    </row>
    <row r="16" spans="1:17" x14ac:dyDescent="0.35">
      <c r="A16" s="2"/>
      <c r="B16" s="4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8" x14ac:dyDescent="0.35">
      <c r="A17" s="2"/>
      <c r="B17" s="4"/>
      <c r="C17" s="3"/>
      <c r="D17" s="2"/>
      <c r="E17" s="2"/>
      <c r="F17" s="2"/>
      <c r="G17" s="3"/>
      <c r="H17" s="2"/>
      <c r="I17" s="2"/>
      <c r="J17" s="3"/>
      <c r="K17" s="3"/>
      <c r="L17" s="2"/>
      <c r="M17" s="3"/>
      <c r="N17" s="3"/>
      <c r="O17" s="3"/>
      <c r="P17" s="3"/>
      <c r="Q17" s="3"/>
    </row>
    <row r="18" spans="1:18" x14ac:dyDescent="0.35">
      <c r="A18" s="2"/>
      <c r="B18" s="4"/>
      <c r="C18" s="2"/>
      <c r="D18" s="2"/>
      <c r="E18" s="2"/>
      <c r="F18" s="2"/>
      <c r="G18" s="2"/>
      <c r="H18" s="2"/>
      <c r="I18" s="2"/>
      <c r="J18" s="2"/>
      <c r="K18" s="3"/>
      <c r="L18" s="2"/>
      <c r="M18" s="3"/>
      <c r="O18" s="2" t="s">
        <v>17</v>
      </c>
      <c r="P18" s="2" t="s">
        <v>16</v>
      </c>
      <c r="Q18" s="2" t="s">
        <v>18</v>
      </c>
      <c r="R18" s="2" t="s">
        <v>53</v>
      </c>
    </row>
    <row r="19" spans="1:18" x14ac:dyDescent="0.35">
      <c r="A19" s="2"/>
      <c r="B19" s="4" t="s">
        <v>16</v>
      </c>
      <c r="C19" s="2">
        <f>AVERAGE(C2:C18)</f>
        <v>1.4299999999999997</v>
      </c>
      <c r="D19" s="2">
        <f t="shared" ref="D19:M19" si="0">AVERAGE(D2:D18)</f>
        <v>1.1375</v>
      </c>
      <c r="E19" s="2">
        <f t="shared" si="0"/>
        <v>0.96857142857142864</v>
      </c>
      <c r="F19" s="2">
        <f t="shared" si="0"/>
        <v>1.04</v>
      </c>
      <c r="G19" s="2">
        <f t="shared" si="0"/>
        <v>0.92909090909090919</v>
      </c>
      <c r="H19" s="2">
        <f t="shared" si="0"/>
        <v>0.95400000000000007</v>
      </c>
      <c r="I19" s="2">
        <f t="shared" si="0"/>
        <v>0.98909090909090913</v>
      </c>
      <c r="J19" s="2">
        <f t="shared" si="0"/>
        <v>0.90909090909090906</v>
      </c>
      <c r="K19" s="2">
        <f t="shared" si="0"/>
        <v>0.90545454545454551</v>
      </c>
      <c r="L19" s="2">
        <f t="shared" si="0"/>
        <v>0.99444444444444435</v>
      </c>
      <c r="M19" s="2">
        <f t="shared" si="0"/>
        <v>1.0522222222222222</v>
      </c>
      <c r="O19" s="2">
        <f>STDEV(C19:M19)</f>
        <v>0.14997072621051533</v>
      </c>
      <c r="P19" s="2">
        <f>AVERAGE(C19:M19)</f>
        <v>1.0281332152695788</v>
      </c>
      <c r="Q19" s="2">
        <f>O19/P19</f>
        <v>0.14586701799259805</v>
      </c>
      <c r="R19">
        <f>COUNT(C2:M18)</f>
        <v>120</v>
      </c>
    </row>
    <row r="22" spans="1:18" x14ac:dyDescent="0.35">
      <c r="A22" s="2" t="s">
        <v>0</v>
      </c>
      <c r="B22" s="4" t="s">
        <v>15</v>
      </c>
      <c r="C22" s="2" t="s">
        <v>4</v>
      </c>
      <c r="D22" s="2" t="s">
        <v>41</v>
      </c>
      <c r="E22" s="2" t="s">
        <v>42</v>
      </c>
      <c r="F22" s="2" t="s">
        <v>43</v>
      </c>
      <c r="G22" s="2" t="s">
        <v>44</v>
      </c>
      <c r="H22" s="2" t="s">
        <v>45</v>
      </c>
      <c r="I22" s="2" t="s">
        <v>46</v>
      </c>
      <c r="J22" s="2" t="s">
        <v>47</v>
      </c>
      <c r="K22" s="2" t="s">
        <v>48</v>
      </c>
      <c r="L22" s="2" t="s">
        <v>49</v>
      </c>
      <c r="M22" s="2" t="s">
        <v>50</v>
      </c>
      <c r="N22" s="2"/>
      <c r="P22" s="2"/>
      <c r="Q22" s="2"/>
    </row>
    <row r="23" spans="1:18" x14ac:dyDescent="0.35">
      <c r="A23" s="2" t="s">
        <v>3</v>
      </c>
      <c r="B23" s="5">
        <v>2</v>
      </c>
      <c r="C23" s="1">
        <v>1.44</v>
      </c>
      <c r="D23" s="1">
        <v>0.54</v>
      </c>
      <c r="E23" s="1">
        <v>0.4</v>
      </c>
      <c r="F23" s="1">
        <v>0.9</v>
      </c>
      <c r="G23" s="1">
        <v>0.24</v>
      </c>
      <c r="H23" s="1">
        <v>0.39</v>
      </c>
      <c r="I23" s="1">
        <v>0.43</v>
      </c>
      <c r="J23" s="1">
        <v>0.32</v>
      </c>
      <c r="K23" s="1">
        <v>0.34</v>
      </c>
      <c r="L23" s="1">
        <v>0.9</v>
      </c>
      <c r="M23" s="1">
        <v>0.83</v>
      </c>
      <c r="N23" s="1"/>
      <c r="O23" s="1"/>
      <c r="P23" s="1"/>
      <c r="Q23" s="1"/>
    </row>
    <row r="24" spans="1:18" x14ac:dyDescent="0.35">
      <c r="A24" s="2"/>
      <c r="B24" s="4"/>
      <c r="C24" s="1">
        <v>1.43</v>
      </c>
      <c r="D24" s="1">
        <v>0.88</v>
      </c>
      <c r="E24" s="1">
        <v>0.67</v>
      </c>
      <c r="F24" s="1">
        <v>1.0900000000000001</v>
      </c>
      <c r="G24" s="1">
        <v>0.81</v>
      </c>
      <c r="H24" s="1">
        <v>0.85</v>
      </c>
      <c r="I24" s="1">
        <v>0.75</v>
      </c>
      <c r="J24" s="1">
        <v>0.82</v>
      </c>
      <c r="K24" s="1">
        <v>1.01</v>
      </c>
      <c r="L24" s="1">
        <v>1.06</v>
      </c>
      <c r="M24" s="1">
        <v>1.22</v>
      </c>
      <c r="N24" s="1"/>
      <c r="O24" s="1"/>
      <c r="P24" s="1"/>
      <c r="Q24" s="1"/>
    </row>
    <row r="25" spans="1:18" x14ac:dyDescent="0.35">
      <c r="A25" s="2"/>
      <c r="B25" s="4"/>
      <c r="C25" s="1">
        <v>1.43</v>
      </c>
      <c r="D25" s="1">
        <v>1.1599999999999999</v>
      </c>
      <c r="E25" s="1">
        <v>0.95</v>
      </c>
      <c r="F25" s="1">
        <v>1.22</v>
      </c>
      <c r="G25" s="1">
        <v>0.94</v>
      </c>
      <c r="H25" s="1">
        <v>1.08</v>
      </c>
      <c r="I25" s="1">
        <v>1.8</v>
      </c>
      <c r="J25" s="1">
        <v>1.05</v>
      </c>
      <c r="K25" s="1">
        <v>1.06</v>
      </c>
      <c r="L25" s="1">
        <v>1.06</v>
      </c>
      <c r="M25" s="1">
        <v>1.2</v>
      </c>
      <c r="N25" s="1"/>
      <c r="O25" s="1"/>
      <c r="P25" s="1"/>
      <c r="Q25" s="1"/>
    </row>
    <row r="26" spans="1:18" x14ac:dyDescent="0.35">
      <c r="A26" s="2"/>
      <c r="B26" s="4"/>
      <c r="C26" s="1">
        <v>1.44</v>
      </c>
      <c r="D26" s="1">
        <v>1.28</v>
      </c>
      <c r="E26" s="1">
        <v>1.06</v>
      </c>
      <c r="F26" s="1">
        <v>1.26</v>
      </c>
      <c r="G26" s="1">
        <v>1.07</v>
      </c>
      <c r="H26" s="1">
        <v>1.24</v>
      </c>
      <c r="I26" s="1">
        <v>1.36</v>
      </c>
      <c r="J26" s="1">
        <v>0.78</v>
      </c>
      <c r="K26" s="1">
        <v>0.98</v>
      </c>
      <c r="L26" s="1">
        <v>1.1100000000000001</v>
      </c>
      <c r="M26" s="1">
        <v>1.23</v>
      </c>
      <c r="N26" s="1"/>
      <c r="O26" s="1"/>
      <c r="P26" s="1"/>
      <c r="Q26" s="1"/>
    </row>
    <row r="27" spans="1:18" x14ac:dyDescent="0.35">
      <c r="A27" s="2"/>
      <c r="B27" s="4"/>
      <c r="C27" s="1">
        <v>1.44</v>
      </c>
      <c r="D27" s="1">
        <v>1.29</v>
      </c>
      <c r="E27" s="1">
        <v>1.1399999999999999</v>
      </c>
      <c r="F27" s="1">
        <v>1.28</v>
      </c>
      <c r="G27" s="1">
        <v>0.96</v>
      </c>
      <c r="H27" s="1">
        <v>1.24</v>
      </c>
      <c r="I27" s="1">
        <v>1.42</v>
      </c>
      <c r="J27" s="1">
        <v>1.26</v>
      </c>
      <c r="K27" s="1">
        <v>0.98</v>
      </c>
      <c r="L27" s="1">
        <v>1.18</v>
      </c>
      <c r="M27" s="1">
        <v>1.3</v>
      </c>
      <c r="N27" s="1"/>
      <c r="O27" s="1"/>
      <c r="P27" s="1"/>
      <c r="Q27" s="1"/>
    </row>
    <row r="28" spans="1:18" x14ac:dyDescent="0.35">
      <c r="A28" s="2"/>
      <c r="B28" s="4"/>
      <c r="C28" s="1">
        <v>1.44</v>
      </c>
      <c r="D28" s="1">
        <v>1.3</v>
      </c>
      <c r="E28" s="1">
        <v>1.1599999999999999</v>
      </c>
      <c r="F28" s="1">
        <v>1.23</v>
      </c>
      <c r="G28" s="1">
        <v>1.06</v>
      </c>
      <c r="H28" s="1">
        <v>1.3</v>
      </c>
      <c r="I28" s="1">
        <v>1.4</v>
      </c>
      <c r="J28" s="1">
        <v>1.01</v>
      </c>
      <c r="K28" s="1">
        <v>0.95</v>
      </c>
      <c r="L28" s="1">
        <v>1.07</v>
      </c>
      <c r="M28" s="1">
        <v>1.23</v>
      </c>
      <c r="N28" s="1"/>
      <c r="O28" s="1"/>
      <c r="P28" s="1"/>
      <c r="Q28" s="1"/>
    </row>
    <row r="29" spans="1:18" x14ac:dyDescent="0.35">
      <c r="A29" s="2"/>
      <c r="B29" s="4"/>
      <c r="C29" s="1">
        <v>1.44</v>
      </c>
      <c r="D29" s="1">
        <v>1.26</v>
      </c>
      <c r="E29" s="1">
        <v>1.1399999999999999</v>
      </c>
      <c r="F29" s="1">
        <v>1.19</v>
      </c>
      <c r="G29" s="1">
        <v>0.99</v>
      </c>
      <c r="H29" s="1">
        <v>1.3</v>
      </c>
      <c r="I29" s="1">
        <v>1.4</v>
      </c>
      <c r="J29" s="1">
        <v>1.07</v>
      </c>
      <c r="K29" s="1">
        <v>1.03</v>
      </c>
      <c r="L29" s="1">
        <v>1.02</v>
      </c>
      <c r="M29" s="1">
        <v>1.3</v>
      </c>
      <c r="N29" s="1"/>
      <c r="O29" s="1"/>
      <c r="P29" s="1"/>
      <c r="Q29" s="1"/>
    </row>
    <row r="30" spans="1:18" x14ac:dyDescent="0.35">
      <c r="A30" s="2"/>
      <c r="B30" s="4"/>
      <c r="C30" s="1">
        <v>1.44</v>
      </c>
      <c r="D30" s="1">
        <v>1.2</v>
      </c>
      <c r="E30" s="1">
        <v>1.08</v>
      </c>
      <c r="F30" s="1">
        <v>1.23</v>
      </c>
      <c r="G30" s="1">
        <v>1.04</v>
      </c>
      <c r="H30" s="1">
        <v>1.28</v>
      </c>
      <c r="I30" s="1">
        <v>1.28</v>
      </c>
      <c r="J30" s="1">
        <v>1.05</v>
      </c>
      <c r="K30" s="1">
        <v>1.03</v>
      </c>
      <c r="L30" s="1">
        <v>1.08</v>
      </c>
      <c r="M30" s="1">
        <v>1.1599999999999999</v>
      </c>
      <c r="N30" s="1"/>
      <c r="O30" s="1"/>
      <c r="P30" s="1"/>
      <c r="Q30" s="1"/>
    </row>
    <row r="31" spans="1:18" x14ac:dyDescent="0.35">
      <c r="A31" s="2"/>
      <c r="B31" s="4"/>
      <c r="C31" s="1">
        <v>1.44</v>
      </c>
      <c r="D31" s="1">
        <v>1.23</v>
      </c>
      <c r="E31" s="1">
        <v>1.1399999999999999</v>
      </c>
      <c r="F31" s="1">
        <v>1.1000000000000001</v>
      </c>
      <c r="G31" s="1">
        <v>1.1000000000000001</v>
      </c>
      <c r="H31" s="1">
        <v>1</v>
      </c>
      <c r="I31" s="1">
        <v>0.98</v>
      </c>
      <c r="J31" s="1">
        <v>1.08</v>
      </c>
      <c r="K31" s="1">
        <v>0.95</v>
      </c>
      <c r="L31" s="1">
        <v>1.05</v>
      </c>
      <c r="M31" s="1">
        <v>1.02</v>
      </c>
      <c r="N31" s="1"/>
      <c r="O31" s="1"/>
      <c r="P31" s="1"/>
      <c r="Q31" s="1"/>
    </row>
    <row r="32" spans="1:18" x14ac:dyDescent="0.35">
      <c r="A32" s="2"/>
      <c r="B32" s="4"/>
      <c r="C32" s="1"/>
      <c r="D32" s="1">
        <v>1.24</v>
      </c>
      <c r="E32" s="1">
        <v>1.18</v>
      </c>
      <c r="F32" s="1">
        <v>0.96</v>
      </c>
      <c r="G32" s="1">
        <v>1.2</v>
      </c>
      <c r="H32" s="1">
        <v>0.81</v>
      </c>
      <c r="I32" s="1">
        <v>0.53</v>
      </c>
      <c r="J32" s="1">
        <v>0.98</v>
      </c>
      <c r="K32" s="1">
        <v>0.92</v>
      </c>
      <c r="L32" s="1">
        <v>0.55000000000000004</v>
      </c>
      <c r="M32" s="1">
        <v>0.49</v>
      </c>
      <c r="N32" s="1"/>
      <c r="O32" s="1"/>
      <c r="P32" s="1"/>
      <c r="Q32" s="1"/>
    </row>
    <row r="33" spans="1:18" x14ac:dyDescent="0.35">
      <c r="A33" s="2"/>
      <c r="B33" s="4"/>
      <c r="C33" s="1"/>
      <c r="D33" s="1">
        <v>1.27</v>
      </c>
      <c r="E33" s="1">
        <v>1.1599999999999999</v>
      </c>
      <c r="F33" s="1">
        <v>0.76</v>
      </c>
      <c r="G33" s="1">
        <v>1.24</v>
      </c>
      <c r="H33" s="1">
        <v>0.28000000000000003</v>
      </c>
      <c r="I33" s="1"/>
      <c r="J33" s="1">
        <v>0.68</v>
      </c>
      <c r="K33" s="1">
        <v>0.48</v>
      </c>
      <c r="L33" s="1"/>
      <c r="M33" s="1"/>
      <c r="N33" s="1"/>
      <c r="O33" s="1"/>
      <c r="P33" s="1"/>
      <c r="Q33" s="1"/>
    </row>
    <row r="34" spans="1:18" x14ac:dyDescent="0.35">
      <c r="A34" s="2"/>
      <c r="B34" s="4"/>
      <c r="C34" s="1"/>
      <c r="D34" s="1">
        <v>1.28</v>
      </c>
      <c r="E34" s="1">
        <v>1.1200000000000001</v>
      </c>
      <c r="F34" s="1"/>
      <c r="G34" s="1">
        <v>1.1299999999999999</v>
      </c>
      <c r="H34" s="3"/>
      <c r="I34" s="1"/>
      <c r="J34" s="3"/>
      <c r="K34" s="1"/>
      <c r="L34" s="1"/>
      <c r="M34" s="1"/>
      <c r="N34" s="1"/>
      <c r="O34" s="1"/>
      <c r="P34" s="1"/>
      <c r="Q34" s="1"/>
    </row>
    <row r="35" spans="1:18" x14ac:dyDescent="0.35">
      <c r="A35" s="2"/>
      <c r="B35" s="4"/>
      <c r="C35" s="3"/>
      <c r="D35" s="1">
        <v>1.1499999999999999</v>
      </c>
      <c r="E35" s="1">
        <v>1</v>
      </c>
      <c r="F35" s="1"/>
      <c r="G35" s="1">
        <v>1.07</v>
      </c>
      <c r="H35" s="3"/>
      <c r="I35" s="1"/>
      <c r="J35" s="3"/>
      <c r="K35" s="3"/>
      <c r="L35" s="3"/>
      <c r="M35" s="1"/>
      <c r="N35" s="1"/>
      <c r="O35" s="1"/>
      <c r="P35" s="1"/>
      <c r="Q35" s="1"/>
    </row>
    <row r="36" spans="1:18" x14ac:dyDescent="0.35">
      <c r="A36" s="2"/>
      <c r="B36" s="4"/>
      <c r="C36" s="3"/>
      <c r="D36" s="1">
        <v>0.26</v>
      </c>
      <c r="E36" s="1">
        <v>0.66</v>
      </c>
      <c r="F36" s="3"/>
      <c r="G36" s="1">
        <v>0.64</v>
      </c>
      <c r="H36" s="3"/>
      <c r="I36" s="3"/>
      <c r="J36" s="3"/>
      <c r="K36" s="3"/>
      <c r="L36" s="3"/>
      <c r="M36" s="1"/>
      <c r="N36" s="1"/>
      <c r="O36" s="1"/>
      <c r="P36" s="1"/>
      <c r="Q36" s="1"/>
    </row>
    <row r="37" spans="1:18" x14ac:dyDescent="0.35">
      <c r="A37" s="2"/>
      <c r="B37" s="4"/>
      <c r="C37" s="3"/>
      <c r="D37" s="3"/>
      <c r="E37" s="1">
        <v>0.38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8" x14ac:dyDescent="0.35">
      <c r="A38" s="2"/>
      <c r="B38" s="4"/>
      <c r="C38" s="3"/>
      <c r="D38" s="2"/>
      <c r="E38" s="2"/>
      <c r="F38" s="2"/>
      <c r="G38" s="3"/>
      <c r="H38" s="2"/>
      <c r="I38" s="2"/>
      <c r="J38" s="3"/>
      <c r="K38" s="3"/>
      <c r="L38" s="2"/>
      <c r="M38" s="3"/>
      <c r="N38" s="3"/>
      <c r="O38" s="3"/>
      <c r="P38" s="3"/>
      <c r="Q38" s="3"/>
    </row>
    <row r="39" spans="1:18" x14ac:dyDescent="0.35">
      <c r="A39" s="2"/>
      <c r="B39" s="4"/>
      <c r="C39" s="2"/>
      <c r="D39" s="2"/>
      <c r="E39" s="2"/>
      <c r="F39" s="2"/>
      <c r="G39" s="2"/>
      <c r="H39" s="2"/>
      <c r="I39" s="2"/>
      <c r="J39" s="2"/>
      <c r="K39" s="3"/>
      <c r="L39" s="2"/>
      <c r="M39" s="3"/>
      <c r="O39" s="2" t="s">
        <v>17</v>
      </c>
      <c r="P39" s="2" t="s">
        <v>16</v>
      </c>
      <c r="Q39" s="2" t="s">
        <v>18</v>
      </c>
      <c r="R39" s="2" t="s">
        <v>53</v>
      </c>
    </row>
    <row r="40" spans="1:18" x14ac:dyDescent="0.35">
      <c r="A40" s="2"/>
      <c r="B40" s="4" t="s">
        <v>16</v>
      </c>
      <c r="C40" s="2">
        <f>AVERAGE(C23:C39)</f>
        <v>1.4377777777777776</v>
      </c>
      <c r="D40" s="2">
        <f t="shared" ref="D40" si="1">AVERAGE(D23:D39)</f>
        <v>1.0957142857142856</v>
      </c>
      <c r="E40" s="2">
        <f t="shared" ref="E40" si="2">AVERAGE(E23:E39)</f>
        <v>0.94933333333333336</v>
      </c>
      <c r="F40" s="2">
        <f t="shared" ref="F40" si="3">AVERAGE(F23:F39)</f>
        <v>1.1109090909090911</v>
      </c>
      <c r="G40" s="2">
        <f t="shared" ref="G40" si="4">AVERAGE(G23:G39)</f>
        <v>0.96357142857142875</v>
      </c>
      <c r="H40" s="2">
        <f t="shared" ref="H40" si="5">AVERAGE(H23:H39)</f>
        <v>0.97909090909090901</v>
      </c>
      <c r="I40" s="2">
        <f t="shared" ref="I40" si="6">AVERAGE(I23:I39)</f>
        <v>1.135</v>
      </c>
      <c r="J40" s="2">
        <f t="shared" ref="J40" si="7">AVERAGE(J23:J39)</f>
        <v>0.9181818181818181</v>
      </c>
      <c r="K40" s="2">
        <f t="shared" ref="K40" si="8">AVERAGE(K23:K39)</f>
        <v>0.88454545454545463</v>
      </c>
      <c r="L40" s="2">
        <f t="shared" ref="L40" si="9">AVERAGE(L23:L39)</f>
        <v>1.0080000000000002</v>
      </c>
      <c r="M40" s="2">
        <f t="shared" ref="M40" si="10">AVERAGE(M23:M39)</f>
        <v>1.0980000000000001</v>
      </c>
      <c r="O40" s="2">
        <f>STDEV(C40:M40)</f>
        <v>0.153220376031137</v>
      </c>
      <c r="P40" s="2">
        <f>AVERAGE(C40:M40)</f>
        <v>1.0527385543749181</v>
      </c>
      <c r="Q40" s="2">
        <f>O40/P40</f>
        <v>0.1455445660220113</v>
      </c>
      <c r="R40">
        <f>COUNT(C23:M39)</f>
        <v>126</v>
      </c>
    </row>
    <row r="43" spans="1:18" x14ac:dyDescent="0.35">
      <c r="A43" s="2" t="s">
        <v>0</v>
      </c>
      <c r="B43" s="4" t="s">
        <v>15</v>
      </c>
      <c r="C43" s="2" t="s">
        <v>4</v>
      </c>
      <c r="D43" s="2" t="s">
        <v>41</v>
      </c>
      <c r="E43" s="2" t="s">
        <v>42</v>
      </c>
      <c r="F43" s="2" t="s">
        <v>43</v>
      </c>
      <c r="G43" s="2" t="s">
        <v>44</v>
      </c>
      <c r="H43" s="2" t="s">
        <v>45</v>
      </c>
      <c r="I43" s="2" t="s">
        <v>46</v>
      </c>
      <c r="J43" s="2" t="s">
        <v>47</v>
      </c>
      <c r="K43" s="2" t="s">
        <v>48</v>
      </c>
      <c r="L43" s="2" t="s">
        <v>49</v>
      </c>
      <c r="M43" s="2" t="s">
        <v>50</v>
      </c>
      <c r="N43" s="2"/>
      <c r="P43" s="2"/>
      <c r="Q43" s="2"/>
    </row>
    <row r="44" spans="1:18" x14ac:dyDescent="0.35">
      <c r="A44" s="2" t="s">
        <v>3</v>
      </c>
      <c r="B44" s="5">
        <v>3</v>
      </c>
      <c r="C44" s="1">
        <v>1.38</v>
      </c>
      <c r="D44" s="1">
        <v>0.42</v>
      </c>
      <c r="E44" s="1">
        <v>0.41</v>
      </c>
      <c r="F44" s="1">
        <v>0.45</v>
      </c>
      <c r="G44" s="1">
        <v>0.48</v>
      </c>
      <c r="H44" s="1">
        <v>0.22</v>
      </c>
      <c r="I44" s="1">
        <v>0.59</v>
      </c>
      <c r="J44" s="1">
        <v>0.22</v>
      </c>
      <c r="K44" s="1">
        <v>0.43</v>
      </c>
      <c r="L44" s="1">
        <v>0.64</v>
      </c>
      <c r="M44" s="1">
        <v>0.17</v>
      </c>
      <c r="N44" s="1"/>
      <c r="O44" s="1"/>
      <c r="P44" s="1"/>
      <c r="Q44" s="1"/>
    </row>
    <row r="45" spans="1:18" x14ac:dyDescent="0.35">
      <c r="A45" s="2"/>
      <c r="B45" s="4"/>
      <c r="C45" s="1">
        <v>1.39</v>
      </c>
      <c r="D45" s="1">
        <v>0.61</v>
      </c>
      <c r="E45" s="1">
        <v>0.78</v>
      </c>
      <c r="F45" s="1">
        <v>0.68</v>
      </c>
      <c r="G45" s="1">
        <v>0.68</v>
      </c>
      <c r="H45" s="1">
        <v>0.84</v>
      </c>
      <c r="I45" s="1">
        <v>0.9</v>
      </c>
      <c r="J45" s="1">
        <v>0.89</v>
      </c>
      <c r="K45" s="1">
        <v>0.92</v>
      </c>
      <c r="L45" s="1">
        <v>1.23</v>
      </c>
      <c r="M45" s="1">
        <v>0.87</v>
      </c>
      <c r="N45" s="1"/>
      <c r="O45" s="1"/>
      <c r="P45" s="1"/>
      <c r="Q45" s="1"/>
    </row>
    <row r="46" spans="1:18" x14ac:dyDescent="0.35">
      <c r="A46" s="2"/>
      <c r="B46" s="4"/>
      <c r="C46" s="1">
        <v>1.39</v>
      </c>
      <c r="D46" s="1">
        <v>0.99</v>
      </c>
      <c r="E46" s="1">
        <v>1</v>
      </c>
      <c r="F46" s="1">
        <v>0.9</v>
      </c>
      <c r="G46" s="1">
        <v>0.8</v>
      </c>
      <c r="H46" s="1">
        <v>1.18</v>
      </c>
      <c r="I46" s="1">
        <v>1.17</v>
      </c>
      <c r="J46" s="1">
        <v>0.94</v>
      </c>
      <c r="K46" s="1">
        <v>1.01</v>
      </c>
      <c r="L46" s="1">
        <v>1.1599999999999999</v>
      </c>
      <c r="M46" s="1">
        <v>0.98</v>
      </c>
      <c r="N46" s="1"/>
      <c r="O46" s="1"/>
      <c r="P46" s="1"/>
      <c r="Q46" s="1"/>
    </row>
    <row r="47" spans="1:18" x14ac:dyDescent="0.35">
      <c r="A47" s="2"/>
      <c r="B47" s="4"/>
      <c r="C47" s="1">
        <v>1.4</v>
      </c>
      <c r="D47" s="1">
        <v>1.06</v>
      </c>
      <c r="E47" s="1">
        <v>1.02</v>
      </c>
      <c r="F47" s="1">
        <v>1.01</v>
      </c>
      <c r="G47" s="1">
        <v>0.87</v>
      </c>
      <c r="H47" s="1">
        <v>1.25</v>
      </c>
      <c r="I47" s="1">
        <v>1.24</v>
      </c>
      <c r="J47" s="1">
        <v>1.03</v>
      </c>
      <c r="K47" s="1">
        <v>1.17</v>
      </c>
      <c r="L47" s="1">
        <v>1.22</v>
      </c>
      <c r="M47" s="1">
        <v>1.18</v>
      </c>
      <c r="N47" s="1"/>
      <c r="O47" s="1"/>
      <c r="P47" s="1"/>
      <c r="Q47" s="1"/>
    </row>
    <row r="48" spans="1:18" x14ac:dyDescent="0.35">
      <c r="A48" s="2"/>
      <c r="B48" s="4"/>
      <c r="C48" s="1">
        <v>1.4</v>
      </c>
      <c r="D48" s="1">
        <v>1.18</v>
      </c>
      <c r="E48" s="1">
        <v>1.0900000000000001</v>
      </c>
      <c r="F48" s="1">
        <v>1.08</v>
      </c>
      <c r="G48" s="1">
        <v>0.97</v>
      </c>
      <c r="H48" s="1">
        <v>1.39</v>
      </c>
      <c r="I48" s="1">
        <v>1.22</v>
      </c>
      <c r="J48" s="1">
        <v>1.1399999999999999</v>
      </c>
      <c r="K48" s="1">
        <v>1.25</v>
      </c>
      <c r="L48" s="1">
        <v>1.38</v>
      </c>
      <c r="M48" s="1">
        <v>0.99</v>
      </c>
      <c r="N48" s="1"/>
      <c r="O48" s="1"/>
      <c r="P48" s="1"/>
      <c r="Q48" s="1"/>
    </row>
    <row r="49" spans="1:18" x14ac:dyDescent="0.35">
      <c r="A49" s="2"/>
      <c r="B49" s="4"/>
      <c r="C49" s="1">
        <v>1.4</v>
      </c>
      <c r="D49" s="1">
        <v>1.19</v>
      </c>
      <c r="E49" s="1">
        <v>1.1200000000000001</v>
      </c>
      <c r="F49" s="1">
        <v>1.1100000000000001</v>
      </c>
      <c r="G49" s="1">
        <v>0.92</v>
      </c>
      <c r="H49" s="1">
        <v>1.36</v>
      </c>
      <c r="I49" s="1">
        <v>1.28</v>
      </c>
      <c r="J49" s="1">
        <v>1.1100000000000001</v>
      </c>
      <c r="K49" s="1">
        <v>1.25</v>
      </c>
      <c r="L49" s="1">
        <v>1.35</v>
      </c>
      <c r="M49" s="1">
        <v>1.05</v>
      </c>
      <c r="N49" s="1"/>
      <c r="O49" s="1"/>
      <c r="P49" s="1"/>
      <c r="Q49" s="1"/>
    </row>
    <row r="50" spans="1:18" x14ac:dyDescent="0.35">
      <c r="A50" s="2"/>
      <c r="B50" s="4"/>
      <c r="C50" s="1">
        <v>1.4</v>
      </c>
      <c r="D50" s="1">
        <v>1.19</v>
      </c>
      <c r="E50" s="1">
        <v>1.25</v>
      </c>
      <c r="F50" s="1">
        <v>1.1299999999999999</v>
      </c>
      <c r="G50" s="1">
        <v>1.05</v>
      </c>
      <c r="H50" s="1">
        <v>1.37</v>
      </c>
      <c r="I50" s="1">
        <v>1.29</v>
      </c>
      <c r="J50" s="1">
        <v>1.0900000000000001</v>
      </c>
      <c r="K50" s="1">
        <v>1.24</v>
      </c>
      <c r="L50" s="1">
        <v>1.23</v>
      </c>
      <c r="M50" s="1">
        <v>0.99</v>
      </c>
      <c r="N50" s="1"/>
      <c r="O50" s="1"/>
      <c r="P50" s="1"/>
      <c r="Q50" s="1"/>
    </row>
    <row r="51" spans="1:18" x14ac:dyDescent="0.35">
      <c r="A51" s="2"/>
      <c r="B51" s="4"/>
      <c r="C51" s="1">
        <v>1.39</v>
      </c>
      <c r="D51" s="1">
        <v>1.1299999999999999</v>
      </c>
      <c r="E51" s="1">
        <v>1.23</v>
      </c>
      <c r="F51" s="1">
        <v>1.06</v>
      </c>
      <c r="G51" s="1">
        <v>1.1599999999999999</v>
      </c>
      <c r="H51" s="1">
        <v>1.3</v>
      </c>
      <c r="I51" s="1">
        <v>1.29</v>
      </c>
      <c r="J51" s="1">
        <v>1.1299999999999999</v>
      </c>
      <c r="K51" s="1">
        <v>1.23</v>
      </c>
      <c r="L51" s="1">
        <v>1.26</v>
      </c>
      <c r="M51" s="1">
        <v>1.1000000000000001</v>
      </c>
      <c r="N51" s="1"/>
      <c r="O51" s="1"/>
      <c r="P51" s="1"/>
      <c r="Q51" s="1"/>
    </row>
    <row r="52" spans="1:18" x14ac:dyDescent="0.35">
      <c r="A52" s="2"/>
      <c r="B52" s="4"/>
      <c r="C52" s="1">
        <v>1.37</v>
      </c>
      <c r="D52" s="1">
        <v>1.1299999999999999</v>
      </c>
      <c r="E52" s="1">
        <v>1.1000000000000001</v>
      </c>
      <c r="F52" s="1">
        <v>1.08</v>
      </c>
      <c r="G52" s="1">
        <v>1.18</v>
      </c>
      <c r="H52" s="1">
        <v>1.08</v>
      </c>
      <c r="I52" s="1">
        <v>0.95</v>
      </c>
      <c r="J52" s="1">
        <v>1.1299999999999999</v>
      </c>
      <c r="K52" s="1">
        <v>1.08</v>
      </c>
      <c r="L52" s="1">
        <v>0.62</v>
      </c>
      <c r="M52" s="1">
        <v>1.27</v>
      </c>
      <c r="N52" s="1"/>
      <c r="O52" s="1"/>
      <c r="P52" s="1"/>
      <c r="Q52" s="1"/>
    </row>
    <row r="53" spans="1:18" x14ac:dyDescent="0.35">
      <c r="A53" s="2"/>
      <c r="B53" s="4"/>
      <c r="C53" s="1">
        <v>1.37</v>
      </c>
      <c r="D53" s="1">
        <v>1.1200000000000001</v>
      </c>
      <c r="E53" s="1">
        <v>1.0900000000000001</v>
      </c>
      <c r="F53" s="1">
        <v>1.04</v>
      </c>
      <c r="G53" s="1">
        <v>1.1399999999999999</v>
      </c>
      <c r="H53" s="1">
        <v>0.42</v>
      </c>
      <c r="I53" s="1">
        <v>0.38</v>
      </c>
      <c r="J53" s="1">
        <v>1.04</v>
      </c>
      <c r="K53" s="1">
        <v>0.75</v>
      </c>
      <c r="L53" s="1"/>
      <c r="M53" s="1">
        <v>1.01</v>
      </c>
      <c r="N53" s="1"/>
      <c r="O53" s="1"/>
      <c r="P53" s="1"/>
      <c r="Q53" s="1"/>
    </row>
    <row r="54" spans="1:18" x14ac:dyDescent="0.35">
      <c r="A54" s="2"/>
      <c r="B54" s="4"/>
      <c r="C54" s="1"/>
      <c r="D54" s="1">
        <v>1.0900000000000001</v>
      </c>
      <c r="E54" s="1">
        <v>1.03</v>
      </c>
      <c r="F54" s="1">
        <v>1.02</v>
      </c>
      <c r="G54" s="1">
        <v>1.1000000000000001</v>
      </c>
      <c r="H54" s="1"/>
      <c r="I54" s="1"/>
      <c r="J54" s="1">
        <v>0.91</v>
      </c>
      <c r="K54" s="1"/>
      <c r="L54" s="1"/>
      <c r="M54" s="1">
        <v>0.34</v>
      </c>
      <c r="N54" s="1"/>
      <c r="O54" s="1"/>
      <c r="P54" s="1"/>
      <c r="Q54" s="1"/>
    </row>
    <row r="55" spans="1:18" x14ac:dyDescent="0.35">
      <c r="A55" s="2"/>
      <c r="B55" s="4"/>
      <c r="C55" s="1"/>
      <c r="D55" s="1">
        <v>1.1000000000000001</v>
      </c>
      <c r="E55" s="1">
        <v>1.01</v>
      </c>
      <c r="F55" s="1">
        <v>1.02</v>
      </c>
      <c r="G55" s="1">
        <v>0.98</v>
      </c>
      <c r="H55" s="3"/>
      <c r="I55" s="1"/>
      <c r="J55" s="1">
        <v>0.43</v>
      </c>
      <c r="K55" s="1"/>
      <c r="L55" s="1"/>
      <c r="M55" s="1"/>
      <c r="N55" s="1"/>
      <c r="O55" s="1"/>
      <c r="P55" s="1"/>
      <c r="Q55" s="1"/>
    </row>
    <row r="56" spans="1:18" x14ac:dyDescent="0.35">
      <c r="A56" s="2"/>
      <c r="B56" s="4"/>
      <c r="C56" s="3"/>
      <c r="D56" s="1">
        <v>0.86</v>
      </c>
      <c r="E56" s="1">
        <v>0.82</v>
      </c>
      <c r="F56" s="1">
        <v>0.89</v>
      </c>
      <c r="G56" s="1">
        <v>0.86</v>
      </c>
      <c r="H56" s="3"/>
      <c r="I56" s="1"/>
      <c r="J56" s="3"/>
      <c r="K56" s="3"/>
      <c r="L56" s="3"/>
      <c r="M56" s="1"/>
      <c r="N56" s="1"/>
      <c r="O56" s="1"/>
      <c r="P56" s="1"/>
      <c r="Q56" s="1"/>
    </row>
    <row r="57" spans="1:18" x14ac:dyDescent="0.35">
      <c r="A57" s="2"/>
      <c r="B57" s="4"/>
      <c r="C57" s="3"/>
      <c r="D57" s="1">
        <v>0.42</v>
      </c>
      <c r="E57" s="1">
        <v>0.44</v>
      </c>
      <c r="F57" s="3"/>
      <c r="G57" s="1">
        <v>0.17</v>
      </c>
      <c r="H57" s="3"/>
      <c r="I57" s="3"/>
      <c r="J57" s="3"/>
      <c r="K57" s="3"/>
      <c r="L57" s="3"/>
      <c r="M57" s="1"/>
      <c r="N57" s="1"/>
      <c r="O57" s="1"/>
      <c r="P57" s="1"/>
      <c r="Q57" s="1"/>
    </row>
    <row r="58" spans="1:18" x14ac:dyDescent="0.35">
      <c r="A58" s="2"/>
      <c r="B58" s="4"/>
      <c r="C58" s="3"/>
      <c r="D58" s="3"/>
      <c r="E58" s="1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8" x14ac:dyDescent="0.35">
      <c r="A59" s="2"/>
      <c r="B59" s="4"/>
      <c r="C59" s="3"/>
      <c r="D59" s="2"/>
      <c r="E59" s="2"/>
      <c r="F59" s="2"/>
      <c r="G59" s="3"/>
      <c r="H59" s="2"/>
      <c r="I59" s="2"/>
      <c r="J59" s="3"/>
      <c r="K59" s="3"/>
      <c r="L59" s="2"/>
      <c r="M59" s="3"/>
      <c r="N59" s="3"/>
      <c r="O59" s="3"/>
      <c r="P59" s="3"/>
      <c r="Q59" s="3"/>
    </row>
    <row r="60" spans="1:18" x14ac:dyDescent="0.35">
      <c r="A60" s="2"/>
      <c r="B60" s="4"/>
      <c r="C60" s="2"/>
      <c r="D60" s="2"/>
      <c r="E60" s="2"/>
      <c r="F60" s="2"/>
      <c r="G60" s="2"/>
      <c r="H60" s="2"/>
      <c r="I60" s="2"/>
      <c r="J60" s="2"/>
      <c r="K60" s="3"/>
      <c r="L60" s="2"/>
      <c r="M60" s="3"/>
      <c r="O60" s="2" t="s">
        <v>17</v>
      </c>
      <c r="P60" s="2" t="s">
        <v>16</v>
      </c>
      <c r="Q60" s="2" t="s">
        <v>18</v>
      </c>
      <c r="R60" s="2" t="s">
        <v>53</v>
      </c>
    </row>
    <row r="61" spans="1:18" x14ac:dyDescent="0.35">
      <c r="A61" s="2"/>
      <c r="B61" s="4" t="s">
        <v>16</v>
      </c>
      <c r="C61" s="2">
        <f>AVERAGE(C44:C60)</f>
        <v>1.389</v>
      </c>
      <c r="D61" s="2">
        <f t="shared" ref="D61" si="11">AVERAGE(D44:D60)</f>
        <v>0.96357142857142841</v>
      </c>
      <c r="E61" s="2">
        <f t="shared" ref="E61" si="12">AVERAGE(E44:E60)</f>
        <v>0.95642857142857129</v>
      </c>
      <c r="F61" s="2">
        <f t="shared" ref="F61" si="13">AVERAGE(F44:F60)</f>
        <v>0.95923076923076911</v>
      </c>
      <c r="G61" s="2">
        <f t="shared" ref="G61" si="14">AVERAGE(G44:G60)</f>
        <v>0.88285714285714278</v>
      </c>
      <c r="H61" s="2">
        <f t="shared" ref="H61" si="15">AVERAGE(H44:H60)</f>
        <v>1.0409999999999999</v>
      </c>
      <c r="I61" s="2">
        <f t="shared" ref="I61" si="16">AVERAGE(I44:I60)</f>
        <v>1.0310000000000001</v>
      </c>
      <c r="J61" s="2">
        <f t="shared" ref="J61" si="17">AVERAGE(J44:J60)</f>
        <v>0.92166666666666652</v>
      </c>
      <c r="K61" s="2">
        <f t="shared" ref="K61" si="18">AVERAGE(K44:K60)</f>
        <v>1.0329999999999999</v>
      </c>
      <c r="L61" s="2">
        <f t="shared" ref="L61" si="19">AVERAGE(L44:L60)</f>
        <v>1.1211111111111112</v>
      </c>
      <c r="M61" s="2">
        <f t="shared" ref="M61" si="20">AVERAGE(M44:M60)</f>
        <v>0.90454545454545443</v>
      </c>
      <c r="O61" s="2">
        <f>STDEV(C61:M61)</f>
        <v>0.14135636133327437</v>
      </c>
      <c r="P61" s="2">
        <f>AVERAGE(C61:M61)</f>
        <v>1.0184919222191948</v>
      </c>
      <c r="Q61" s="2">
        <f>O61/P61</f>
        <v>0.13878986985510167</v>
      </c>
      <c r="R61">
        <f>COUNT(C44:M60)</f>
        <v>127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DAF25-418F-4A60-A65D-41A9E658EEDE}">
  <dimension ref="A1:R57"/>
  <sheetViews>
    <sheetView tabSelected="1" topLeftCell="A25" workbookViewId="0">
      <selection activeCell="R58" sqref="R58"/>
    </sheetView>
  </sheetViews>
  <sheetFormatPr defaultColWidth="8.81640625" defaultRowHeight="14.5" x14ac:dyDescent="0.35"/>
  <cols>
    <col min="1" max="1" width="8.81640625" style="2"/>
    <col min="2" max="2" width="7.90625" style="4" customWidth="1"/>
    <col min="3" max="3" width="13.54296875" style="2" customWidth="1"/>
    <col min="4" max="4" width="9.90625" style="2" bestFit="1" customWidth="1"/>
    <col min="5" max="5" width="8.81640625" style="2"/>
    <col min="6" max="6" width="10.81640625" style="2" bestFit="1" customWidth="1"/>
    <col min="7" max="7" width="8.81640625" style="2"/>
    <col min="8" max="8" width="9.90625" style="2" bestFit="1" customWidth="1"/>
    <col min="9" max="9" width="7.7265625" style="2" bestFit="1" customWidth="1"/>
    <col min="10" max="10" width="10.81640625" style="2" bestFit="1" customWidth="1"/>
    <col min="11" max="16384" width="8.81640625" style="2"/>
  </cols>
  <sheetData>
    <row r="1" spans="1:18" x14ac:dyDescent="0.35">
      <c r="A1" s="2" t="s">
        <v>0</v>
      </c>
      <c r="B1" s="4" t="s">
        <v>15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</row>
    <row r="2" spans="1:18" x14ac:dyDescent="0.35">
      <c r="A2" s="2" t="s">
        <v>2</v>
      </c>
      <c r="B2" s="5">
        <v>1</v>
      </c>
      <c r="C2" s="3">
        <v>1.24</v>
      </c>
      <c r="D2" s="3">
        <v>0.6</v>
      </c>
      <c r="E2" s="3">
        <v>0.6</v>
      </c>
      <c r="F2" s="3">
        <v>0.7</v>
      </c>
      <c r="G2" s="3">
        <v>0.57999999999999996</v>
      </c>
      <c r="H2" s="3">
        <v>0.6</v>
      </c>
      <c r="I2" s="3">
        <v>0.76</v>
      </c>
      <c r="J2" s="3">
        <v>0.8</v>
      </c>
      <c r="K2" s="3">
        <v>0.4</v>
      </c>
      <c r="L2" s="3">
        <v>0.56000000000000005</v>
      </c>
      <c r="M2" s="3">
        <v>0.57999999999999996</v>
      </c>
    </row>
    <row r="3" spans="1:18" x14ac:dyDescent="0.35">
      <c r="C3" s="3">
        <v>1.2</v>
      </c>
      <c r="D3" s="3">
        <v>1.08</v>
      </c>
      <c r="E3" s="3">
        <v>1.0900000000000001</v>
      </c>
      <c r="F3" s="3">
        <v>1.1599999999999999</v>
      </c>
      <c r="G3" s="3">
        <v>1.18</v>
      </c>
      <c r="H3" s="3">
        <v>0.99</v>
      </c>
      <c r="I3" s="3">
        <v>1.02</v>
      </c>
      <c r="J3" s="3">
        <v>1.02</v>
      </c>
      <c r="K3" s="3">
        <v>0.92</v>
      </c>
      <c r="L3" s="3">
        <v>1.1200000000000001</v>
      </c>
      <c r="M3" s="3">
        <v>0.88</v>
      </c>
    </row>
    <row r="4" spans="1:18" x14ac:dyDescent="0.35">
      <c r="C4" s="3">
        <v>1.18</v>
      </c>
      <c r="D4" s="3">
        <v>1.36</v>
      </c>
      <c r="E4" s="3">
        <v>1.28</v>
      </c>
      <c r="F4" s="3">
        <v>1.37</v>
      </c>
      <c r="G4" s="3">
        <v>1.57</v>
      </c>
      <c r="H4" s="3">
        <v>1.26</v>
      </c>
      <c r="I4" s="3">
        <v>1.1599999999999999</v>
      </c>
      <c r="J4" s="3">
        <v>1.4</v>
      </c>
      <c r="K4" s="3">
        <v>1.1499999999999999</v>
      </c>
      <c r="L4" s="3">
        <v>1.18</v>
      </c>
      <c r="M4" s="3">
        <v>0.98</v>
      </c>
    </row>
    <row r="5" spans="1:18" x14ac:dyDescent="0.35">
      <c r="C5" s="3">
        <v>1.18</v>
      </c>
      <c r="D5" s="3">
        <v>1.47</v>
      </c>
      <c r="E5" s="3">
        <v>1.44</v>
      </c>
      <c r="F5" s="3">
        <v>1.54</v>
      </c>
      <c r="G5" s="3">
        <v>1.6</v>
      </c>
      <c r="H5" s="3">
        <v>1.39</v>
      </c>
      <c r="I5" s="3">
        <v>1.06</v>
      </c>
      <c r="J5" s="3">
        <v>1.5</v>
      </c>
      <c r="K5" s="3">
        <v>1.23</v>
      </c>
      <c r="L5" s="3">
        <v>1.22</v>
      </c>
      <c r="M5" s="3">
        <v>1.03</v>
      </c>
    </row>
    <row r="6" spans="1:18" x14ac:dyDescent="0.35">
      <c r="C6" s="3">
        <v>1.1599999999999999</v>
      </c>
      <c r="D6" s="3">
        <v>1.5</v>
      </c>
      <c r="E6" s="3">
        <v>1.49</v>
      </c>
      <c r="F6" s="3">
        <v>1.78</v>
      </c>
      <c r="G6" s="3">
        <v>1.55</v>
      </c>
      <c r="H6" s="3">
        <v>1.42</v>
      </c>
      <c r="I6" s="3">
        <v>1.18</v>
      </c>
      <c r="J6" s="3">
        <v>1.55</v>
      </c>
      <c r="K6" s="3">
        <v>1.26</v>
      </c>
      <c r="L6" s="3">
        <v>1.22</v>
      </c>
      <c r="M6" s="3">
        <v>1.1000000000000001</v>
      </c>
    </row>
    <row r="7" spans="1:18" x14ac:dyDescent="0.35">
      <c r="C7" s="3">
        <v>1.1599999999999999</v>
      </c>
      <c r="D7" s="3">
        <v>1.4</v>
      </c>
      <c r="E7" s="3">
        <v>1.38</v>
      </c>
      <c r="F7" s="3">
        <v>1.88</v>
      </c>
      <c r="G7" s="3">
        <v>1.48</v>
      </c>
      <c r="H7" s="3">
        <v>1.42</v>
      </c>
      <c r="I7" s="3">
        <v>1.18</v>
      </c>
      <c r="J7" s="3">
        <v>1.64</v>
      </c>
      <c r="K7" s="3">
        <v>1.28</v>
      </c>
      <c r="L7" s="3">
        <v>1.1200000000000001</v>
      </c>
      <c r="M7" s="3">
        <v>1.04</v>
      </c>
    </row>
    <row r="8" spans="1:18" x14ac:dyDescent="0.35">
      <c r="C8" s="3">
        <v>1.1399999999999999</v>
      </c>
      <c r="D8" s="3">
        <v>1.34</v>
      </c>
      <c r="E8" s="3">
        <v>1.34</v>
      </c>
      <c r="F8" s="3">
        <v>1.83</v>
      </c>
      <c r="G8" s="3">
        <v>1.42</v>
      </c>
      <c r="H8" s="3">
        <v>1.43</v>
      </c>
      <c r="I8" s="3">
        <v>1.23</v>
      </c>
      <c r="J8" s="3">
        <v>1.64</v>
      </c>
      <c r="K8" s="3">
        <v>1.28</v>
      </c>
      <c r="L8" s="3">
        <v>1.08</v>
      </c>
      <c r="M8" s="3">
        <v>1.07</v>
      </c>
    </row>
    <row r="9" spans="1:18" x14ac:dyDescent="0.35">
      <c r="C9" s="3">
        <v>1.18</v>
      </c>
      <c r="D9" s="3">
        <v>1.32</v>
      </c>
      <c r="E9" s="3">
        <v>1.34</v>
      </c>
      <c r="F9" s="3">
        <v>1.6</v>
      </c>
      <c r="G9" s="3">
        <v>1.18</v>
      </c>
      <c r="H9" s="3">
        <v>1.36</v>
      </c>
      <c r="I9" s="3">
        <v>1.29</v>
      </c>
      <c r="J9" s="3">
        <v>1.6</v>
      </c>
      <c r="K9" s="3">
        <v>1.32</v>
      </c>
      <c r="L9" s="3">
        <v>1.08</v>
      </c>
      <c r="M9" s="3">
        <v>1.06</v>
      </c>
    </row>
    <row r="10" spans="1:18" x14ac:dyDescent="0.35">
      <c r="C10" s="3">
        <v>1.18</v>
      </c>
      <c r="D10" s="3">
        <v>1.1200000000000001</v>
      </c>
      <c r="E10" s="3">
        <v>1.26</v>
      </c>
      <c r="F10" s="3">
        <v>1.29</v>
      </c>
      <c r="G10" s="3">
        <v>1.02</v>
      </c>
      <c r="H10" s="3">
        <v>1.21</v>
      </c>
      <c r="I10" s="3">
        <v>1.3</v>
      </c>
      <c r="J10" s="3">
        <v>1.26</v>
      </c>
      <c r="K10" s="3">
        <v>1.34</v>
      </c>
      <c r="L10" s="3">
        <v>1.06</v>
      </c>
      <c r="M10" s="3">
        <v>1</v>
      </c>
    </row>
    <row r="11" spans="1:18" x14ac:dyDescent="0.35">
      <c r="C11" s="3">
        <v>1.18</v>
      </c>
      <c r="D11" s="3">
        <v>0.78</v>
      </c>
      <c r="E11" s="3">
        <v>1.01</v>
      </c>
      <c r="F11" s="3">
        <v>0.92</v>
      </c>
      <c r="G11" s="3">
        <v>0.78</v>
      </c>
      <c r="H11" s="3">
        <v>1.06</v>
      </c>
      <c r="I11" s="3">
        <v>0.92</v>
      </c>
      <c r="J11" s="3">
        <v>1.1200000000000001</v>
      </c>
      <c r="K11" s="3">
        <v>1.24</v>
      </c>
      <c r="L11" s="3">
        <v>0.9</v>
      </c>
      <c r="M11" s="3">
        <v>1.02</v>
      </c>
    </row>
    <row r="12" spans="1:18" x14ac:dyDescent="0.35">
      <c r="C12" s="3">
        <v>1.1599999999999999</v>
      </c>
      <c r="D12" s="3">
        <v>0.16</v>
      </c>
      <c r="E12" s="3">
        <v>0.49</v>
      </c>
      <c r="F12" s="3">
        <v>0.37</v>
      </c>
      <c r="G12" s="3">
        <v>0.38</v>
      </c>
      <c r="H12" s="3">
        <v>0.57999999999999996</v>
      </c>
      <c r="I12" s="3">
        <v>0.62</v>
      </c>
      <c r="J12" s="3">
        <v>0.88</v>
      </c>
      <c r="K12" s="3">
        <v>1.19</v>
      </c>
      <c r="L12" s="3">
        <v>0.73</v>
      </c>
      <c r="M12" s="3">
        <v>1</v>
      </c>
    </row>
    <row r="13" spans="1:18" x14ac:dyDescent="0.35">
      <c r="C13" s="3">
        <v>1.1599999999999999</v>
      </c>
      <c r="G13" s="3">
        <v>0.18</v>
      </c>
      <c r="J13" s="3">
        <v>0.46</v>
      </c>
      <c r="K13" s="3">
        <v>0.9</v>
      </c>
      <c r="M13" s="3">
        <v>0.83</v>
      </c>
    </row>
    <row r="14" spans="1:18" x14ac:dyDescent="0.35">
      <c r="K14" s="3">
        <v>0.24</v>
      </c>
      <c r="M14" s="3">
        <v>0.57999999999999996</v>
      </c>
      <c r="O14" s="2" t="s">
        <v>17</v>
      </c>
      <c r="P14" s="2" t="s">
        <v>16</v>
      </c>
      <c r="Q14" s="2" t="s">
        <v>18</v>
      </c>
      <c r="R14" s="2" t="s">
        <v>53</v>
      </c>
    </row>
    <row r="15" spans="1:18" x14ac:dyDescent="0.35">
      <c r="B15" s="4" t="s">
        <v>16</v>
      </c>
      <c r="C15" s="2">
        <f>AVERAGE(C2:C14)</f>
        <v>1.1766666666666665</v>
      </c>
      <c r="D15" s="2">
        <f t="shared" ref="D15:M15" si="0">AVERAGE(D2:D14)</f>
        <v>1.1027272727272728</v>
      </c>
      <c r="E15" s="2">
        <f t="shared" si="0"/>
        <v>1.1563636363636365</v>
      </c>
      <c r="F15" s="2">
        <f t="shared" si="0"/>
        <v>1.3127272727272725</v>
      </c>
      <c r="G15" s="2">
        <f t="shared" si="0"/>
        <v>1.0766666666666664</v>
      </c>
      <c r="H15" s="2">
        <f t="shared" si="0"/>
        <v>1.1563636363636363</v>
      </c>
      <c r="I15" s="2">
        <f t="shared" si="0"/>
        <v>1.0654545454545454</v>
      </c>
      <c r="J15" s="2">
        <f t="shared" si="0"/>
        <v>1.2391666666666665</v>
      </c>
      <c r="K15" s="2">
        <f t="shared" si="0"/>
        <v>1.0576923076923077</v>
      </c>
      <c r="L15" s="2">
        <f t="shared" si="0"/>
        <v>1.0245454545454546</v>
      </c>
      <c r="M15" s="2">
        <f t="shared" si="0"/>
        <v>0.93615384615384611</v>
      </c>
      <c r="O15" s="2">
        <f>STDEV(C15:M15)</f>
        <v>0.10446196997334223</v>
      </c>
      <c r="P15" s="2">
        <f>AVERAGE(C15:M15)</f>
        <v>1.1185934520025429</v>
      </c>
      <c r="Q15" s="2">
        <f>O15/P15</f>
        <v>9.3386895646788357E-2</v>
      </c>
      <c r="R15">
        <f>COUNT(C2:M14)</f>
        <v>128</v>
      </c>
    </row>
    <row r="18" spans="1:13" x14ac:dyDescent="0.35">
      <c r="A18" s="2" t="s">
        <v>0</v>
      </c>
      <c r="B18" s="4" t="s">
        <v>15</v>
      </c>
      <c r="C18" s="2" t="s">
        <v>4</v>
      </c>
      <c r="D18" s="2" t="s">
        <v>5</v>
      </c>
      <c r="E18" s="2" t="s">
        <v>6</v>
      </c>
      <c r="F18" s="2" t="s">
        <v>7</v>
      </c>
      <c r="G18" s="2" t="s">
        <v>8</v>
      </c>
      <c r="H18" s="2" t="s">
        <v>9</v>
      </c>
      <c r="I18" s="2" t="s">
        <v>10</v>
      </c>
      <c r="J18" s="2" t="s">
        <v>11</v>
      </c>
      <c r="K18" s="2" t="s">
        <v>12</v>
      </c>
      <c r="L18" s="2" t="s">
        <v>13</v>
      </c>
      <c r="M18" s="2" t="s">
        <v>14</v>
      </c>
    </row>
    <row r="19" spans="1:13" x14ac:dyDescent="0.35">
      <c r="A19" s="2" t="s">
        <v>2</v>
      </c>
      <c r="B19" s="5">
        <v>2</v>
      </c>
      <c r="C19" s="1">
        <v>1.5</v>
      </c>
      <c r="D19" s="1">
        <v>0.88</v>
      </c>
      <c r="E19" s="1">
        <v>0.18</v>
      </c>
      <c r="F19" s="1">
        <v>0.14000000000000001</v>
      </c>
      <c r="G19" s="1">
        <v>0.82</v>
      </c>
      <c r="H19" s="1">
        <v>0.6</v>
      </c>
      <c r="I19" s="1">
        <v>0.49</v>
      </c>
      <c r="J19" s="1">
        <v>1.31</v>
      </c>
      <c r="K19" s="1">
        <v>0.82</v>
      </c>
      <c r="L19" s="1">
        <v>0.85</v>
      </c>
      <c r="M19" s="1">
        <v>0.56000000000000005</v>
      </c>
    </row>
    <row r="20" spans="1:13" x14ac:dyDescent="0.35">
      <c r="C20" s="1">
        <v>1.49</v>
      </c>
      <c r="D20" s="1">
        <v>1.32</v>
      </c>
      <c r="E20" s="1">
        <v>0.97</v>
      </c>
      <c r="F20" s="1">
        <v>0.75</v>
      </c>
      <c r="G20" s="1">
        <v>1.62</v>
      </c>
      <c r="H20" s="1">
        <v>1.1200000000000001</v>
      </c>
      <c r="I20" s="1">
        <v>1.18</v>
      </c>
      <c r="J20" s="1">
        <v>1.56</v>
      </c>
      <c r="K20" s="1">
        <v>1.29</v>
      </c>
      <c r="L20" s="1">
        <v>1.35</v>
      </c>
      <c r="M20" s="1">
        <v>1.26</v>
      </c>
    </row>
    <row r="21" spans="1:13" x14ac:dyDescent="0.35">
      <c r="C21" s="1">
        <v>1.5</v>
      </c>
      <c r="D21" s="1">
        <v>1.6</v>
      </c>
      <c r="E21" s="1">
        <v>1.62</v>
      </c>
      <c r="F21" s="1">
        <v>1.21</v>
      </c>
      <c r="G21" s="1">
        <v>1.53</v>
      </c>
      <c r="H21" s="1">
        <v>1.52</v>
      </c>
      <c r="I21" s="1">
        <v>1.45</v>
      </c>
      <c r="J21" s="1">
        <v>1.68</v>
      </c>
      <c r="K21" s="1">
        <v>1.7</v>
      </c>
      <c r="L21" s="1">
        <v>1.62</v>
      </c>
      <c r="M21" s="1">
        <v>1.53</v>
      </c>
    </row>
    <row r="22" spans="1:13" x14ac:dyDescent="0.35">
      <c r="C22" s="1">
        <v>1.45</v>
      </c>
      <c r="D22" s="1">
        <v>1.82</v>
      </c>
      <c r="E22" s="1">
        <v>1.64</v>
      </c>
      <c r="F22" s="1">
        <v>1.38</v>
      </c>
      <c r="G22" s="1">
        <v>1.54</v>
      </c>
      <c r="H22" s="1">
        <v>1.76</v>
      </c>
      <c r="I22" s="1">
        <v>1.48</v>
      </c>
      <c r="J22" s="1">
        <v>1.74</v>
      </c>
      <c r="K22" s="1">
        <v>1.68</v>
      </c>
      <c r="L22" s="1">
        <v>1.66</v>
      </c>
      <c r="M22" s="1">
        <v>1.66</v>
      </c>
    </row>
    <row r="23" spans="1:13" x14ac:dyDescent="0.35">
      <c r="C23" s="1">
        <v>1.45</v>
      </c>
      <c r="D23" s="1">
        <v>1.78</v>
      </c>
      <c r="E23" s="1">
        <v>1.8</v>
      </c>
      <c r="F23" s="1">
        <v>1.72</v>
      </c>
      <c r="G23" s="1">
        <v>1.98</v>
      </c>
      <c r="H23" s="1">
        <v>2</v>
      </c>
      <c r="I23" s="1">
        <v>1.56</v>
      </c>
      <c r="J23" s="1">
        <v>1.6</v>
      </c>
      <c r="K23" s="1">
        <v>1.74</v>
      </c>
      <c r="L23" s="1">
        <v>1.71</v>
      </c>
      <c r="M23" s="1">
        <v>1.68</v>
      </c>
    </row>
    <row r="24" spans="1:13" x14ac:dyDescent="0.35">
      <c r="C24" s="1">
        <v>1.43</v>
      </c>
      <c r="D24" s="1">
        <v>1.78</v>
      </c>
      <c r="E24" s="1">
        <v>1.82</v>
      </c>
      <c r="F24" s="1">
        <v>1.8</v>
      </c>
      <c r="G24" s="1">
        <v>2.02</v>
      </c>
      <c r="H24" s="1">
        <v>2</v>
      </c>
      <c r="I24" s="1">
        <v>1.86</v>
      </c>
      <c r="J24" s="1">
        <v>1.68</v>
      </c>
      <c r="K24" s="1">
        <v>1.8</v>
      </c>
      <c r="L24" s="1">
        <v>1.7</v>
      </c>
      <c r="M24" s="1">
        <v>1.7</v>
      </c>
    </row>
    <row r="25" spans="1:13" x14ac:dyDescent="0.35">
      <c r="C25" s="1">
        <v>1.45</v>
      </c>
      <c r="D25" s="1">
        <v>1.72</v>
      </c>
      <c r="E25" s="1">
        <v>1.84</v>
      </c>
      <c r="F25" s="1">
        <v>1.82</v>
      </c>
      <c r="G25" s="1">
        <v>1.98</v>
      </c>
      <c r="H25" s="1">
        <v>2.15</v>
      </c>
      <c r="I25" s="1">
        <v>1.88</v>
      </c>
      <c r="J25" s="1">
        <v>1.8</v>
      </c>
      <c r="K25" s="1">
        <v>1.95</v>
      </c>
      <c r="L25" s="1">
        <v>1.65</v>
      </c>
      <c r="M25" s="1">
        <v>1.71</v>
      </c>
    </row>
    <row r="26" spans="1:13" x14ac:dyDescent="0.35">
      <c r="C26" s="1">
        <v>1.45</v>
      </c>
      <c r="D26" s="1">
        <v>1.66</v>
      </c>
      <c r="E26" s="1">
        <v>1.82</v>
      </c>
      <c r="F26" s="1">
        <v>1.94</v>
      </c>
      <c r="G26" s="1">
        <v>1.86</v>
      </c>
      <c r="H26" s="1">
        <v>2.14</v>
      </c>
      <c r="I26" s="1">
        <v>1.66</v>
      </c>
      <c r="J26" s="1">
        <v>1.5</v>
      </c>
      <c r="K26" s="1">
        <v>1.91</v>
      </c>
      <c r="L26" s="1">
        <v>1.64</v>
      </c>
      <c r="M26" s="1">
        <v>1.68</v>
      </c>
    </row>
    <row r="27" spans="1:13" x14ac:dyDescent="0.35">
      <c r="C27" s="1">
        <v>1.44</v>
      </c>
      <c r="D27" s="1">
        <v>1.58</v>
      </c>
      <c r="E27" s="1">
        <v>1.72</v>
      </c>
      <c r="F27" s="1">
        <v>2</v>
      </c>
      <c r="G27" s="1">
        <v>1.64</v>
      </c>
      <c r="H27" s="1">
        <v>1.73</v>
      </c>
      <c r="I27" s="1">
        <v>1.66</v>
      </c>
      <c r="J27" s="1">
        <v>1.35</v>
      </c>
      <c r="K27" s="1">
        <v>1.91</v>
      </c>
      <c r="L27" s="1">
        <v>1.55</v>
      </c>
      <c r="M27" s="1">
        <v>1.67</v>
      </c>
    </row>
    <row r="28" spans="1:13" x14ac:dyDescent="0.35">
      <c r="C28" s="1">
        <v>1.4</v>
      </c>
      <c r="D28" s="1">
        <v>1.26</v>
      </c>
      <c r="E28" s="1">
        <v>1.62</v>
      </c>
      <c r="F28" s="1">
        <v>1.88</v>
      </c>
      <c r="G28" s="1">
        <v>1.44</v>
      </c>
      <c r="H28" s="1">
        <v>1.5</v>
      </c>
      <c r="I28" s="1">
        <v>1.66</v>
      </c>
      <c r="J28" s="1">
        <v>0.6</v>
      </c>
      <c r="K28" s="1">
        <v>1.76</v>
      </c>
      <c r="L28" s="1">
        <v>1.55</v>
      </c>
      <c r="M28" s="1">
        <v>1.68</v>
      </c>
    </row>
    <row r="29" spans="1:13" x14ac:dyDescent="0.35">
      <c r="C29" s="1">
        <v>1.34</v>
      </c>
      <c r="D29" s="3"/>
      <c r="E29" s="1">
        <v>1.44</v>
      </c>
      <c r="F29" s="1">
        <v>1.9</v>
      </c>
      <c r="G29" s="1">
        <v>1.28</v>
      </c>
      <c r="H29" s="1">
        <v>0.78</v>
      </c>
      <c r="I29" s="1">
        <v>1.27</v>
      </c>
      <c r="J29" s="3"/>
      <c r="K29" s="1">
        <v>1.55</v>
      </c>
      <c r="L29" s="1">
        <v>1.48</v>
      </c>
      <c r="M29" s="1">
        <v>1.62</v>
      </c>
    </row>
    <row r="30" spans="1:13" x14ac:dyDescent="0.35">
      <c r="C30" s="1">
        <v>1.4</v>
      </c>
      <c r="E30" s="1">
        <v>0.47</v>
      </c>
      <c r="F30" s="1">
        <v>1.65</v>
      </c>
      <c r="G30" s="1">
        <v>0.45</v>
      </c>
      <c r="J30" s="3"/>
      <c r="K30" s="1">
        <v>1.06</v>
      </c>
      <c r="L30" s="1">
        <v>0.85</v>
      </c>
      <c r="M30" s="1">
        <v>1.52</v>
      </c>
    </row>
    <row r="31" spans="1:13" x14ac:dyDescent="0.35">
      <c r="C31" s="1"/>
      <c r="E31" s="1"/>
      <c r="F31" s="1">
        <v>1.48</v>
      </c>
      <c r="G31" s="3"/>
      <c r="J31" s="3"/>
      <c r="K31" s="3"/>
      <c r="M31" s="1">
        <v>1.18</v>
      </c>
    </row>
    <row r="32" spans="1:13" x14ac:dyDescent="0.35">
      <c r="C32" s="1"/>
      <c r="E32" s="1"/>
      <c r="F32" s="1">
        <v>0.56000000000000005</v>
      </c>
      <c r="G32" s="3"/>
      <c r="J32" s="3"/>
      <c r="K32" s="3"/>
      <c r="M32" s="3"/>
    </row>
    <row r="33" spans="1:18" x14ac:dyDescent="0.35">
      <c r="C33" s="1"/>
      <c r="E33" s="1"/>
      <c r="G33" s="3"/>
      <c r="J33" s="3"/>
      <c r="K33" s="3"/>
      <c r="M33" s="3"/>
    </row>
    <row r="34" spans="1:18" x14ac:dyDescent="0.35">
      <c r="C34" s="1"/>
      <c r="E34" s="1"/>
      <c r="G34" s="3"/>
      <c r="J34" s="3"/>
      <c r="K34" s="3"/>
      <c r="M34" s="3"/>
    </row>
    <row r="35" spans="1:18" x14ac:dyDescent="0.35">
      <c r="K35" s="3"/>
      <c r="M35" s="3"/>
      <c r="O35" s="2" t="s">
        <v>17</v>
      </c>
      <c r="P35" s="2" t="s">
        <v>16</v>
      </c>
      <c r="Q35" s="2" t="s">
        <v>18</v>
      </c>
      <c r="R35" s="2" t="s">
        <v>53</v>
      </c>
    </row>
    <row r="36" spans="1:18" x14ac:dyDescent="0.35">
      <c r="B36" s="4" t="s">
        <v>16</v>
      </c>
      <c r="C36" s="2">
        <f>AVERAGE(C19:C35)</f>
        <v>1.4416666666666664</v>
      </c>
      <c r="D36" s="2">
        <f t="shared" ref="D36" si="1">AVERAGE(D19:D35)</f>
        <v>1.54</v>
      </c>
      <c r="E36" s="2">
        <f t="shared" ref="E36" si="2">AVERAGE(E19:E35)</f>
        <v>1.4116666666666668</v>
      </c>
      <c r="F36" s="2">
        <f>AVERAGE(F19:F35)</f>
        <v>1.4449999999999998</v>
      </c>
      <c r="G36" s="2">
        <f t="shared" ref="G36" si="3">AVERAGE(G19:G35)</f>
        <v>1.5133333333333334</v>
      </c>
      <c r="H36" s="2">
        <f t="shared" ref="H36" si="4">AVERAGE(H19:H35)</f>
        <v>1.5727272727272732</v>
      </c>
      <c r="I36" s="2">
        <f t="shared" ref="I36" si="5">AVERAGE(I19:I35)</f>
        <v>1.468181818181818</v>
      </c>
      <c r="J36" s="2">
        <f t="shared" ref="J36" si="6">AVERAGE(J19:J35)</f>
        <v>1.482</v>
      </c>
      <c r="K36" s="2">
        <f t="shared" ref="K36" si="7">AVERAGE(K19:K35)</f>
        <v>1.5974999999999999</v>
      </c>
      <c r="L36" s="2">
        <f t="shared" ref="L36" si="8">AVERAGE(L19:L35)</f>
        <v>1.4675000000000002</v>
      </c>
      <c r="M36" s="2">
        <f t="shared" ref="M36" si="9">AVERAGE(M19:M35)</f>
        <v>1.4961538461538457</v>
      </c>
      <c r="O36" s="2">
        <f>STDEV(C36:M36)</f>
        <v>5.7302497688034075E-2</v>
      </c>
      <c r="P36" s="2">
        <f>AVERAGE(C36:M36)</f>
        <v>1.4941572367026914</v>
      </c>
      <c r="Q36" s="2">
        <f>O36/P36</f>
        <v>3.8351049193784528E-2</v>
      </c>
      <c r="R36">
        <f>COUNT(C19:M35)</f>
        <v>129</v>
      </c>
    </row>
    <row r="39" spans="1:18" x14ac:dyDescent="0.35">
      <c r="A39" s="2" t="s">
        <v>0</v>
      </c>
      <c r="B39" s="4" t="s">
        <v>15</v>
      </c>
      <c r="C39" s="2" t="s">
        <v>4</v>
      </c>
      <c r="D39" s="2" t="s">
        <v>5</v>
      </c>
      <c r="E39" s="2" t="s">
        <v>6</v>
      </c>
      <c r="F39" s="2" t="s">
        <v>7</v>
      </c>
      <c r="G39" s="2" t="s">
        <v>8</v>
      </c>
      <c r="H39" s="2" t="s">
        <v>9</v>
      </c>
      <c r="I39" s="2" t="s">
        <v>10</v>
      </c>
      <c r="J39" s="2" t="s">
        <v>11</v>
      </c>
      <c r="K39" s="2" t="s">
        <v>12</v>
      </c>
      <c r="L39" s="2" t="s">
        <v>13</v>
      </c>
      <c r="M39" s="2" t="s">
        <v>14</v>
      </c>
    </row>
    <row r="40" spans="1:18" x14ac:dyDescent="0.35">
      <c r="A40" s="2" t="s">
        <v>2</v>
      </c>
      <c r="B40" s="5">
        <v>3</v>
      </c>
      <c r="C40" s="1">
        <v>1.5</v>
      </c>
      <c r="D40" s="1">
        <v>1.1599999999999999</v>
      </c>
      <c r="E40" s="1">
        <v>0.92</v>
      </c>
      <c r="F40" s="1">
        <v>0.7</v>
      </c>
      <c r="G40" s="1">
        <v>0.2</v>
      </c>
      <c r="H40" s="1">
        <v>1.1000000000000001</v>
      </c>
      <c r="I40" s="1">
        <v>0.56999999999999995</v>
      </c>
      <c r="J40" s="1">
        <v>0.38</v>
      </c>
      <c r="K40" s="1">
        <v>0.18</v>
      </c>
      <c r="L40" s="1">
        <v>0.48</v>
      </c>
      <c r="M40" s="1">
        <v>0.2</v>
      </c>
    </row>
    <row r="41" spans="1:18" x14ac:dyDescent="0.35">
      <c r="C41" s="1">
        <v>1.48</v>
      </c>
      <c r="D41" s="1">
        <v>1.46</v>
      </c>
      <c r="E41" s="1">
        <v>1.34</v>
      </c>
      <c r="F41" s="1">
        <v>1.1599999999999999</v>
      </c>
      <c r="G41" s="1">
        <v>0.9</v>
      </c>
      <c r="H41" s="1">
        <v>1.6</v>
      </c>
      <c r="I41" s="1">
        <v>0.86</v>
      </c>
      <c r="J41" s="1">
        <v>1.03</v>
      </c>
      <c r="K41" s="1">
        <v>0.82</v>
      </c>
      <c r="L41" s="1">
        <v>1.1000000000000001</v>
      </c>
      <c r="M41" s="1">
        <v>0.78</v>
      </c>
    </row>
    <row r="42" spans="1:18" x14ac:dyDescent="0.35">
      <c r="C42" s="1">
        <v>1.46</v>
      </c>
      <c r="D42" s="1">
        <v>1.58</v>
      </c>
      <c r="E42" s="1">
        <v>1.6</v>
      </c>
      <c r="F42" s="1">
        <v>1.4</v>
      </c>
      <c r="G42" s="1">
        <v>1.35</v>
      </c>
      <c r="H42" s="1">
        <v>1.78</v>
      </c>
      <c r="I42" s="1">
        <v>1.34</v>
      </c>
      <c r="J42" s="1">
        <v>1.54</v>
      </c>
      <c r="K42" s="1">
        <v>1.33</v>
      </c>
      <c r="L42" s="1">
        <v>1.47</v>
      </c>
      <c r="M42" s="1">
        <v>1.19</v>
      </c>
    </row>
    <row r="43" spans="1:18" x14ac:dyDescent="0.35">
      <c r="C43" s="1">
        <v>1.45</v>
      </c>
      <c r="D43" s="1">
        <v>1.76</v>
      </c>
      <c r="E43" s="1">
        <v>1.66</v>
      </c>
      <c r="F43" s="1">
        <v>1.52</v>
      </c>
      <c r="G43" s="1">
        <v>1.6</v>
      </c>
      <c r="H43" s="1">
        <v>1.76</v>
      </c>
      <c r="I43" s="1">
        <v>1.55</v>
      </c>
      <c r="J43" s="1">
        <v>1.75</v>
      </c>
      <c r="K43" s="1">
        <v>1.46</v>
      </c>
      <c r="L43" s="1">
        <v>1.64</v>
      </c>
      <c r="M43" s="1">
        <v>1.32</v>
      </c>
    </row>
    <row r="44" spans="1:18" x14ac:dyDescent="0.35">
      <c r="C44" s="1">
        <v>1.46</v>
      </c>
      <c r="D44" s="1">
        <v>1.8</v>
      </c>
      <c r="E44" s="1">
        <v>1.65</v>
      </c>
      <c r="F44" s="1">
        <v>1.8</v>
      </c>
      <c r="G44" s="1">
        <v>1.8</v>
      </c>
      <c r="H44" s="1">
        <v>1.8</v>
      </c>
      <c r="I44" s="1">
        <v>1.68</v>
      </c>
      <c r="J44" s="1">
        <v>1.84</v>
      </c>
      <c r="K44" s="1">
        <v>1.58</v>
      </c>
      <c r="L44" s="1">
        <v>1.63</v>
      </c>
      <c r="M44" s="1">
        <v>1.47</v>
      </c>
    </row>
    <row r="45" spans="1:18" x14ac:dyDescent="0.35">
      <c r="C45" s="1">
        <v>1.42</v>
      </c>
      <c r="D45" s="1">
        <v>1.75</v>
      </c>
      <c r="E45" s="1">
        <v>1.66</v>
      </c>
      <c r="F45" s="1">
        <v>1.78</v>
      </c>
      <c r="G45" s="1">
        <v>1.94</v>
      </c>
      <c r="H45" s="1">
        <v>1.75</v>
      </c>
      <c r="I45" s="1">
        <v>1.87</v>
      </c>
      <c r="J45" s="1">
        <v>1.97</v>
      </c>
      <c r="K45" s="1">
        <v>1.56</v>
      </c>
      <c r="L45" s="1">
        <v>1.58</v>
      </c>
      <c r="M45" s="1">
        <v>1.46</v>
      </c>
    </row>
    <row r="46" spans="1:18" x14ac:dyDescent="0.35">
      <c r="C46" s="1">
        <v>1.45</v>
      </c>
      <c r="D46" s="1">
        <v>1.64</v>
      </c>
      <c r="E46" s="1">
        <v>1.47</v>
      </c>
      <c r="F46" s="1">
        <v>1.79</v>
      </c>
      <c r="G46" s="1">
        <v>1.96</v>
      </c>
      <c r="H46" s="1">
        <v>1.63</v>
      </c>
      <c r="I46" s="1">
        <v>1.98</v>
      </c>
      <c r="J46" s="1">
        <v>1.96</v>
      </c>
      <c r="K46" s="1">
        <v>1.57</v>
      </c>
      <c r="L46" s="1">
        <v>1.44</v>
      </c>
      <c r="M46" s="1">
        <v>1.46</v>
      </c>
    </row>
    <row r="47" spans="1:18" x14ac:dyDescent="0.35">
      <c r="C47" s="1">
        <v>1.45</v>
      </c>
      <c r="D47" s="1">
        <v>1.5</v>
      </c>
      <c r="E47" s="1">
        <v>1.5</v>
      </c>
      <c r="F47" s="1">
        <v>1.82</v>
      </c>
      <c r="G47" s="1">
        <v>1.96</v>
      </c>
      <c r="H47" s="1">
        <v>1.5</v>
      </c>
      <c r="I47" s="1">
        <v>2.08</v>
      </c>
      <c r="J47" s="1">
        <v>1.7</v>
      </c>
      <c r="K47" s="1">
        <v>1.54</v>
      </c>
      <c r="L47" s="1">
        <v>1.45</v>
      </c>
      <c r="M47" s="1">
        <v>1.52</v>
      </c>
    </row>
    <row r="48" spans="1:18" x14ac:dyDescent="0.35">
      <c r="C48" s="1">
        <v>1.48</v>
      </c>
      <c r="D48" s="1">
        <v>0.99</v>
      </c>
      <c r="E48" s="1">
        <v>1.34</v>
      </c>
      <c r="F48" s="1">
        <v>1.75</v>
      </c>
      <c r="G48" s="1">
        <v>1.79</v>
      </c>
      <c r="H48" s="1">
        <v>1.22</v>
      </c>
      <c r="I48" s="1">
        <v>2.0299999999999998</v>
      </c>
      <c r="J48" s="1">
        <v>1.61</v>
      </c>
      <c r="K48" s="1">
        <v>1.6</v>
      </c>
      <c r="L48" s="1">
        <v>1.5</v>
      </c>
      <c r="M48" s="1">
        <v>1.45</v>
      </c>
    </row>
    <row r="49" spans="2:18" x14ac:dyDescent="0.35">
      <c r="C49" s="1">
        <v>1.45</v>
      </c>
      <c r="D49" s="1">
        <v>0.38</v>
      </c>
      <c r="E49" s="1">
        <v>0.66</v>
      </c>
      <c r="F49" s="1">
        <v>1.6</v>
      </c>
      <c r="G49" s="1">
        <v>1.45</v>
      </c>
      <c r="H49" s="1">
        <v>0.9</v>
      </c>
      <c r="I49" s="1">
        <v>1.91</v>
      </c>
      <c r="J49" s="1">
        <v>1.44</v>
      </c>
      <c r="K49" s="1">
        <v>1.59</v>
      </c>
      <c r="L49" s="1">
        <v>1.54</v>
      </c>
      <c r="M49" s="1">
        <v>1.45</v>
      </c>
    </row>
    <row r="50" spans="2:18" x14ac:dyDescent="0.35">
      <c r="C50" s="1">
        <v>1.42</v>
      </c>
      <c r="D50" s="3"/>
      <c r="E50" s="3"/>
      <c r="F50" s="1">
        <v>1.36</v>
      </c>
      <c r="G50" s="1">
        <v>1.1000000000000001</v>
      </c>
      <c r="H50" s="3"/>
      <c r="I50" s="1">
        <v>1.6</v>
      </c>
      <c r="J50" s="1">
        <v>1.2</v>
      </c>
      <c r="K50" s="1">
        <v>1.52</v>
      </c>
      <c r="L50" s="1">
        <v>1.42</v>
      </c>
      <c r="M50" s="1">
        <v>1.4</v>
      </c>
    </row>
    <row r="51" spans="2:18" x14ac:dyDescent="0.35">
      <c r="C51" s="1">
        <v>1.4</v>
      </c>
      <c r="D51" s="3"/>
      <c r="E51" s="3"/>
      <c r="F51" s="1">
        <v>0.84</v>
      </c>
      <c r="G51" s="1">
        <v>0.35</v>
      </c>
      <c r="H51" s="3"/>
      <c r="I51" s="1">
        <v>1.29</v>
      </c>
      <c r="J51" s="3"/>
      <c r="K51" s="1">
        <v>1</v>
      </c>
      <c r="L51" s="1">
        <v>0.56000000000000005</v>
      </c>
      <c r="M51" s="1">
        <v>1.4</v>
      </c>
    </row>
    <row r="52" spans="2:18" x14ac:dyDescent="0.35">
      <c r="C52" s="3"/>
      <c r="D52" s="3"/>
      <c r="E52" s="3"/>
      <c r="F52" s="3"/>
      <c r="G52" s="3"/>
      <c r="H52" s="3"/>
      <c r="I52" s="1">
        <v>0.56000000000000005</v>
      </c>
      <c r="J52" s="3"/>
      <c r="K52" s="3"/>
      <c r="L52" s="3"/>
      <c r="M52" s="1">
        <v>1.26</v>
      </c>
    </row>
    <row r="53" spans="2:18" x14ac:dyDescent="0.35">
      <c r="C53" s="3"/>
      <c r="D53" s="3"/>
      <c r="E53" s="3"/>
      <c r="F53" s="3"/>
      <c r="G53" s="3"/>
      <c r="H53" s="3"/>
      <c r="I53" s="3"/>
      <c r="J53" s="3"/>
      <c r="K53" s="3"/>
      <c r="L53" s="3"/>
      <c r="M53" s="1">
        <v>0.52</v>
      </c>
    </row>
    <row r="54" spans="2:18" x14ac:dyDescent="0.35"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2:18" x14ac:dyDescent="0.35">
      <c r="C55" s="3"/>
      <c r="G55" s="3"/>
      <c r="J55" s="3"/>
      <c r="K55" s="3"/>
      <c r="M55" s="3"/>
    </row>
    <row r="56" spans="2:18" x14ac:dyDescent="0.35">
      <c r="K56" s="3"/>
      <c r="M56" s="3"/>
      <c r="O56" s="2" t="s">
        <v>17</v>
      </c>
      <c r="P56" s="2" t="s">
        <v>16</v>
      </c>
      <c r="Q56" s="2" t="s">
        <v>18</v>
      </c>
      <c r="R56" s="2" t="s">
        <v>53</v>
      </c>
    </row>
    <row r="57" spans="2:18" x14ac:dyDescent="0.35">
      <c r="B57" s="4" t="s">
        <v>16</v>
      </c>
      <c r="C57" s="2">
        <f>AVERAGE(C40:C56)</f>
        <v>1.4516666666666662</v>
      </c>
      <c r="D57" s="2">
        <f t="shared" ref="D57" si="10">AVERAGE(D40:D56)</f>
        <v>1.4020000000000001</v>
      </c>
      <c r="E57" s="2">
        <f t="shared" ref="E57" si="11">AVERAGE(E40:E56)</f>
        <v>1.3800000000000001</v>
      </c>
      <c r="F57" s="2">
        <f t="shared" ref="F57" si="12">AVERAGE(F40:F56)</f>
        <v>1.46</v>
      </c>
      <c r="G57" s="2">
        <f t="shared" ref="G57" si="13">AVERAGE(G40:G56)</f>
        <v>1.3666666666666669</v>
      </c>
      <c r="H57" s="2">
        <f t="shared" ref="H57" si="14">AVERAGE(H40:H56)</f>
        <v>1.5040000000000002</v>
      </c>
      <c r="I57" s="2">
        <f t="shared" ref="I57" si="15">AVERAGE(I40:I56)</f>
        <v>1.4861538461538459</v>
      </c>
      <c r="J57" s="2">
        <f t="shared" ref="J57" si="16">AVERAGE(J40:J56)</f>
        <v>1.4927272727272725</v>
      </c>
      <c r="K57" s="2">
        <f t="shared" ref="K57" si="17">AVERAGE(K40:K56)</f>
        <v>1.3124999999999998</v>
      </c>
      <c r="L57" s="2">
        <f t="shared" ref="L57" si="18">AVERAGE(L40:L56)</f>
        <v>1.3174999999999999</v>
      </c>
      <c r="M57" s="2">
        <f t="shared" ref="M57" si="19">AVERAGE(M40:M56)</f>
        <v>1.2057142857142857</v>
      </c>
      <c r="O57" s="2">
        <f>STDEV(C57:M57)</f>
        <v>9.3161399293541364E-2</v>
      </c>
      <c r="P57" s="2">
        <f>AVERAGE(C57:M57)</f>
        <v>1.3980844307207945</v>
      </c>
      <c r="Q57" s="2">
        <f>O57/P57</f>
        <v>6.6635030936945061E-2</v>
      </c>
      <c r="R57">
        <f>COUNT(C40:M56)</f>
        <v>128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E20AA-600C-4A2C-899A-360708B68BBF}">
  <dimension ref="A1:E10"/>
  <sheetViews>
    <sheetView workbookViewId="0">
      <selection sqref="A1:E10"/>
    </sheetView>
  </sheetViews>
  <sheetFormatPr defaultRowHeight="14.5" x14ac:dyDescent="0.35"/>
  <cols>
    <col min="3" max="3" width="12.90625" bestFit="1" customWidth="1"/>
    <col min="4" max="4" width="10.7265625" bestFit="1" customWidth="1"/>
    <col min="5" max="5" width="10.81640625" bestFit="1" customWidth="1"/>
  </cols>
  <sheetData>
    <row r="1" spans="1:5" x14ac:dyDescent="0.35">
      <c r="A1" t="s">
        <v>0</v>
      </c>
      <c r="B1" t="s">
        <v>15</v>
      </c>
      <c r="C1" t="s">
        <v>20</v>
      </c>
      <c r="D1" t="s">
        <v>19</v>
      </c>
      <c r="E1" t="s">
        <v>21</v>
      </c>
    </row>
    <row r="2" spans="1:5" x14ac:dyDescent="0.35">
      <c r="A2" t="s">
        <v>1</v>
      </c>
      <c r="B2">
        <v>1</v>
      </c>
      <c r="C2" s="6">
        <v>0.15725410592124239</v>
      </c>
      <c r="D2" s="6">
        <v>1.2718940972222224</v>
      </c>
      <c r="E2" s="6">
        <v>0.12363773545665518</v>
      </c>
    </row>
    <row r="3" spans="1:5" x14ac:dyDescent="0.35">
      <c r="A3" t="s">
        <v>1</v>
      </c>
      <c r="B3">
        <v>2</v>
      </c>
      <c r="C3" s="6">
        <v>0.11801159882178347</v>
      </c>
      <c r="D3" s="6">
        <v>1.2294743589743591</v>
      </c>
      <c r="E3" s="6">
        <v>9.5985408691426494E-2</v>
      </c>
    </row>
    <row r="4" spans="1:5" x14ac:dyDescent="0.35">
      <c r="A4" t="s">
        <v>1</v>
      </c>
      <c r="B4">
        <v>3</v>
      </c>
      <c r="C4" s="6">
        <v>8.6819407669693899E-2</v>
      </c>
      <c r="D4" s="6">
        <v>1.2000790598290598</v>
      </c>
      <c r="E4" s="6">
        <v>7.2344740089090892E-2</v>
      </c>
    </row>
    <row r="5" spans="1:5" x14ac:dyDescent="0.35">
      <c r="A5" t="s">
        <v>3</v>
      </c>
      <c r="B5">
        <v>1</v>
      </c>
      <c r="C5" s="6">
        <v>0.14997072621051533</v>
      </c>
      <c r="D5" s="6">
        <v>1.0281332152695788</v>
      </c>
      <c r="E5" s="6">
        <v>0.14586701799259805</v>
      </c>
    </row>
    <row r="6" spans="1:5" x14ac:dyDescent="0.35">
      <c r="A6" t="s">
        <v>3</v>
      </c>
      <c r="B6">
        <v>2</v>
      </c>
      <c r="C6" s="6">
        <v>0.153220376031137</v>
      </c>
      <c r="D6" s="6">
        <v>1.0527385543749181</v>
      </c>
      <c r="E6" s="6">
        <v>0.1455445660220113</v>
      </c>
    </row>
    <row r="7" spans="1:5" x14ac:dyDescent="0.35">
      <c r="A7" t="s">
        <v>3</v>
      </c>
      <c r="B7">
        <v>3</v>
      </c>
      <c r="C7" s="6">
        <v>0.14135636133327437</v>
      </c>
      <c r="D7" s="6">
        <v>1.0184919222191948</v>
      </c>
      <c r="E7" s="6">
        <v>0.13878986985510167</v>
      </c>
    </row>
    <row r="8" spans="1:5" x14ac:dyDescent="0.35">
      <c r="A8" t="s">
        <v>2</v>
      </c>
      <c r="B8">
        <v>1</v>
      </c>
      <c r="C8" s="6">
        <v>0.10446196997334223</v>
      </c>
      <c r="D8" s="6">
        <v>1.1185934520025429</v>
      </c>
      <c r="E8" s="6">
        <v>9.3386895646788357E-2</v>
      </c>
    </row>
    <row r="9" spans="1:5" x14ac:dyDescent="0.35">
      <c r="A9" t="s">
        <v>2</v>
      </c>
      <c r="B9">
        <v>2</v>
      </c>
      <c r="C9" s="6">
        <v>5.7302497688034075E-2</v>
      </c>
      <c r="D9" s="6">
        <v>1.4941572367026914</v>
      </c>
      <c r="E9" s="6">
        <v>3.8351049193784528E-2</v>
      </c>
    </row>
    <row r="10" spans="1:5" x14ac:dyDescent="0.35">
      <c r="A10" t="s">
        <v>2</v>
      </c>
      <c r="B10">
        <v>3</v>
      </c>
      <c r="C10" s="6">
        <v>9.3161399293541364E-2</v>
      </c>
      <c r="D10" s="6">
        <v>1.3980844307207945</v>
      </c>
      <c r="E10" s="6">
        <v>6.6635030936945061E-2</v>
      </c>
    </row>
  </sheetData>
  <sortState xmlns:xlrd2="http://schemas.microsoft.com/office/spreadsheetml/2017/richdata2" ref="A2:E10">
    <sortCondition ref="A2:A10"/>
    <sortCondition ref="B2:B10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B22D8-C2C4-44DE-9C03-48BC04D268F4}">
  <dimension ref="A1:F11"/>
  <sheetViews>
    <sheetView workbookViewId="0">
      <selection sqref="A1:F11"/>
    </sheetView>
  </sheetViews>
  <sheetFormatPr defaultRowHeight="14.5" x14ac:dyDescent="0.35"/>
  <cols>
    <col min="3" max="3" width="11.08984375" bestFit="1" customWidth="1"/>
  </cols>
  <sheetData>
    <row r="1" spans="1:6" x14ac:dyDescent="0.35">
      <c r="D1" s="7" t="s">
        <v>52</v>
      </c>
      <c r="E1" s="7"/>
      <c r="F1" s="7"/>
    </row>
    <row r="2" spans="1:6" x14ac:dyDescent="0.35">
      <c r="A2" t="s">
        <v>0</v>
      </c>
      <c r="B2" t="s">
        <v>15</v>
      </c>
      <c r="C2" t="s">
        <v>51</v>
      </c>
      <c r="D2" t="s">
        <v>16</v>
      </c>
      <c r="E2" t="s">
        <v>17</v>
      </c>
      <c r="F2" t="s">
        <v>18</v>
      </c>
    </row>
    <row r="3" spans="1:6" x14ac:dyDescent="0.35">
      <c r="A3" t="s">
        <v>1</v>
      </c>
      <c r="B3">
        <v>1</v>
      </c>
      <c r="C3">
        <v>16</v>
      </c>
      <c r="D3" s="6">
        <v>1.2718940972222224</v>
      </c>
      <c r="E3" s="6">
        <v>0.15725410592124239</v>
      </c>
      <c r="F3" s="6">
        <v>0.12363773545665518</v>
      </c>
    </row>
    <row r="4" spans="1:6" x14ac:dyDescent="0.35">
      <c r="A4" t="s">
        <v>1</v>
      </c>
      <c r="B4">
        <v>2</v>
      </c>
      <c r="C4">
        <v>13</v>
      </c>
      <c r="D4" s="6">
        <v>1.2294743589743591</v>
      </c>
      <c r="E4" s="6">
        <v>0.11801159882178347</v>
      </c>
      <c r="F4" s="6">
        <v>9.5985408691426494E-2</v>
      </c>
    </row>
    <row r="5" spans="1:6" x14ac:dyDescent="0.35">
      <c r="A5" t="s">
        <v>1</v>
      </c>
      <c r="B5">
        <v>3</v>
      </c>
      <c r="C5">
        <v>13</v>
      </c>
      <c r="D5" s="6">
        <v>1.2000790598290598</v>
      </c>
      <c r="E5" s="6">
        <v>8.6819407669693899E-2</v>
      </c>
      <c r="F5" s="6">
        <v>7.2344740089090892E-2</v>
      </c>
    </row>
    <row r="6" spans="1:6" x14ac:dyDescent="0.35">
      <c r="A6" t="s">
        <v>3</v>
      </c>
      <c r="B6">
        <v>1</v>
      </c>
      <c r="C6">
        <v>11</v>
      </c>
      <c r="D6" s="6">
        <v>1.0281332152695788</v>
      </c>
      <c r="E6" s="6">
        <v>0.14997072621051533</v>
      </c>
      <c r="F6" s="6">
        <v>0.14586701799259805</v>
      </c>
    </row>
    <row r="7" spans="1:6" x14ac:dyDescent="0.35">
      <c r="A7" t="s">
        <v>3</v>
      </c>
      <c r="B7">
        <v>2</v>
      </c>
      <c r="C7">
        <v>11</v>
      </c>
      <c r="D7" s="6">
        <v>1.0527385543749181</v>
      </c>
      <c r="E7" s="6">
        <v>0.153220376031137</v>
      </c>
      <c r="F7" s="6">
        <v>0.1455445660220113</v>
      </c>
    </row>
    <row r="8" spans="1:6" x14ac:dyDescent="0.35">
      <c r="A8" t="s">
        <v>3</v>
      </c>
      <c r="B8">
        <v>3</v>
      </c>
      <c r="C8">
        <v>11</v>
      </c>
      <c r="D8" s="6">
        <v>1.0184919222191948</v>
      </c>
      <c r="E8" s="6">
        <v>0.14135636133327437</v>
      </c>
      <c r="F8" s="6">
        <v>0.13878986985510167</v>
      </c>
    </row>
    <row r="9" spans="1:6" x14ac:dyDescent="0.35">
      <c r="A9" t="s">
        <v>2</v>
      </c>
      <c r="B9">
        <v>1</v>
      </c>
      <c r="C9">
        <v>11</v>
      </c>
      <c r="D9" s="6">
        <v>1.1185934520025429</v>
      </c>
      <c r="E9" s="6">
        <v>0.10446196997334223</v>
      </c>
      <c r="F9" s="6">
        <v>9.3386895646788357E-2</v>
      </c>
    </row>
    <row r="10" spans="1:6" x14ac:dyDescent="0.35">
      <c r="A10" t="s">
        <v>2</v>
      </c>
      <c r="B10">
        <v>2</v>
      </c>
      <c r="C10">
        <v>11</v>
      </c>
      <c r="D10" s="6">
        <v>1.4941572367026914</v>
      </c>
      <c r="E10" s="6">
        <v>5.7302497688034075E-2</v>
      </c>
      <c r="F10" s="6">
        <v>3.8351049193784528E-2</v>
      </c>
    </row>
    <row r="11" spans="1:6" x14ac:dyDescent="0.35">
      <c r="A11" t="s">
        <v>2</v>
      </c>
      <c r="B11">
        <v>3</v>
      </c>
      <c r="C11">
        <v>11</v>
      </c>
      <c r="D11" s="6">
        <v>1.3980844307207945</v>
      </c>
      <c r="E11" s="6">
        <v>9.3161399293541364E-2</v>
      </c>
      <c r="F11" s="6">
        <v>6.6635030936945061E-2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 Depths</vt:lpstr>
      <vt:lpstr>DL (MSL) Depths</vt:lpstr>
      <vt:lpstr>UL (DRL) Depths</vt:lpstr>
      <vt:lpstr>Summary Table</vt:lpstr>
      <vt:lpstr>Formatted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Blaszczak</dc:creator>
  <cp:lastModifiedBy>Joanna Blaszczak</cp:lastModifiedBy>
  <dcterms:created xsi:type="dcterms:W3CDTF">2026-01-06T09:05:42Z</dcterms:created>
  <dcterms:modified xsi:type="dcterms:W3CDTF">2026-01-07T18:45:25Z</dcterms:modified>
</cp:coreProperties>
</file>