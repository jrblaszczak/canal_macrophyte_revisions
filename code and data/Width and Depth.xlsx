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<sst xmlns="http://schemas.openxmlformats.org/spreadsheetml/2006/main" count="86" uniqueCount="11">
  <si>
    <t>Canal</t>
  </si>
  <si>
    <t>Sampling Event</t>
  </si>
  <si>
    <t>Date</t>
  </si>
  <si>
    <t>Average Width (m)</t>
  </si>
  <si>
    <t>Average Max Depth (m)</t>
  </si>
  <si>
    <t>*Where sampling event = NA, only one transect at a velocity measurement location was taken.</t>
  </si>
  <si>
    <t>A</t>
  </si>
  <si>
    <t>NA</t>
  </si>
  <si>
    <t>*Only using sampling event averages in manuscript text because they are more representative of the sampling reach.</t>
  </si>
  <si>
    <t>UL</t>
  </si>
  <si>
    <t>DL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</si>
</sst>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>
      <c r="A2" s="1" t="s">
        <v>6</v>
      </c>
      <c r="B2" s="1" t="s">
        <v>7</v>
      </c>
      <c r="C2" s="2">
        <v>44293.0</v>
      </c>
      <c r="D2" s="1">
        <v>9.3726</v>
      </c>
      <c r="E2" s="1">
        <v>1.03</v>
      </c>
      <c r="G2" s="1" t="s">
        <v>8</v>
      </c>
    </row>
    <row r="3">
      <c r="A3" s="1" t="s">
        <v>6</v>
      </c>
      <c r="B3" s="1" t="s">
        <v>7</v>
      </c>
      <c r="C3" s="2">
        <v>44309.0</v>
      </c>
      <c r="D3" s="1">
        <v>9.4488</v>
      </c>
      <c r="E3" s="1">
        <v>1.02</v>
      </c>
    </row>
    <row r="4">
      <c r="A4" s="1" t="s">
        <v>6</v>
      </c>
      <c r="B4" s="1" t="s">
        <v>7</v>
      </c>
      <c r="C4" s="2">
        <v>44323.0</v>
      </c>
      <c r="D4" s="1">
        <v>9.2964</v>
      </c>
      <c r="E4" s="1">
        <v>0.98</v>
      </c>
    </row>
    <row r="5">
      <c r="A5" s="1" t="s">
        <v>6</v>
      </c>
      <c r="B5" s="1" t="s">
        <v>7</v>
      </c>
      <c r="C5" s="2">
        <v>44333.0</v>
      </c>
      <c r="D5" s="3">
        <v>9.4488</v>
      </c>
      <c r="E5" s="1">
        <v>1.13</v>
      </c>
    </row>
    <row r="6">
      <c r="A6" s="1" t="s">
        <v>6</v>
      </c>
      <c r="B6" s="1" t="s">
        <v>7</v>
      </c>
      <c r="C6" s="2">
        <v>44347.0</v>
      </c>
      <c r="D6" s="1">
        <v>9.144</v>
      </c>
      <c r="E6" s="1">
        <v>1.13</v>
      </c>
    </row>
    <row r="7">
      <c r="A7" s="1" t="s">
        <v>6</v>
      </c>
      <c r="B7" s="1">
        <v>1.0</v>
      </c>
      <c r="C7" s="2">
        <v>44354.0</v>
      </c>
      <c r="D7" s="4">
        <f>AVERAGE(6.4008,9.144,10.25,9,10,10.5,9.25,9.5,9.5,9.5,9,9,9.25,9,8.25,8.25,9)</f>
        <v>9.105576471</v>
      </c>
      <c r="E7" s="4">
        <f>AVERAGE(1.94,1.21,1.56,1.64,1.64,1.69,1.58,1.54,1.5,1.4,1.4,1.44,1.38,1.44,1.49,1.48,1.48)</f>
        <v>1.518235294</v>
      </c>
    </row>
    <row r="8">
      <c r="A8" s="1" t="s">
        <v>6</v>
      </c>
      <c r="B8" s="1" t="s">
        <v>7</v>
      </c>
      <c r="C8" s="2">
        <v>44361.0</v>
      </c>
      <c r="D8" s="1">
        <v>10.0584</v>
      </c>
      <c r="E8" s="1">
        <v>1.59</v>
      </c>
    </row>
    <row r="9">
      <c r="A9" s="1" t="s">
        <v>6</v>
      </c>
      <c r="B9" s="1" t="s">
        <v>7</v>
      </c>
      <c r="C9" s="2">
        <v>44375.0</v>
      </c>
      <c r="D9" s="1">
        <v>9.7536</v>
      </c>
      <c r="E9" s="1">
        <v>1.54</v>
      </c>
    </row>
    <row r="10">
      <c r="A10" s="1" t="s">
        <v>6</v>
      </c>
      <c r="B10" s="1">
        <v>2.0</v>
      </c>
      <c r="C10" s="2">
        <v>44383.0</v>
      </c>
      <c r="D10" s="4">
        <f>AVERAGE(10.5,9.5,9,9,11,11,10.5,10,9,9,9,9.5,9.7536)</f>
        <v>9.750276923</v>
      </c>
      <c r="E10" s="4">
        <f>AVERAGE(1.65,1.71,1.65,1.68,1.58,1.63,1.73,1.65,1.4,1.51,1.55,1.56,1.38)</f>
        <v>1.590769231</v>
      </c>
    </row>
    <row r="11">
      <c r="A11" s="1" t="s">
        <v>6</v>
      </c>
      <c r="B11" s="1" t="s">
        <v>7</v>
      </c>
      <c r="C11" s="2">
        <v>44389.0</v>
      </c>
      <c r="D11" s="1">
        <v>9.6012</v>
      </c>
      <c r="E11" s="1">
        <v>1.4</v>
      </c>
    </row>
    <row r="12">
      <c r="A12" s="1" t="s">
        <v>6</v>
      </c>
      <c r="B12" s="1" t="s">
        <v>7</v>
      </c>
      <c r="C12" s="2">
        <v>44396.0</v>
      </c>
      <c r="D12" s="1">
        <v>9.7536</v>
      </c>
      <c r="E12" s="1">
        <v>1.29</v>
      </c>
    </row>
    <row r="13">
      <c r="A13" s="1" t="s">
        <v>6</v>
      </c>
      <c r="B13" s="1" t="s">
        <v>7</v>
      </c>
      <c r="C13" s="2">
        <v>44403.0</v>
      </c>
      <c r="D13" s="1">
        <v>9.7536</v>
      </c>
      <c r="E13" s="1">
        <v>1.25</v>
      </c>
    </row>
    <row r="14">
      <c r="A14" s="1" t="s">
        <v>6</v>
      </c>
      <c r="B14" s="1" t="s">
        <v>7</v>
      </c>
      <c r="C14" s="2">
        <v>44417.0</v>
      </c>
      <c r="D14" s="1">
        <v>9.7536</v>
      </c>
      <c r="E14" s="1">
        <v>1.22</v>
      </c>
    </row>
    <row r="15">
      <c r="A15" s="1" t="s">
        <v>6</v>
      </c>
      <c r="B15" s="1">
        <v>3.0</v>
      </c>
      <c r="C15" s="2">
        <v>44418.0</v>
      </c>
      <c r="D15" s="4">
        <f>AVERAGE(9,9.5,9.5,9,10,10,9.5,9,8.5,8.5,8.25,9,9.7536)</f>
        <v>9.192584615</v>
      </c>
      <c r="E15" s="4">
        <f>average(1.58,1.62,1.62,1.61,1.43,1.53,1.56,1.36,1.4,1.41,1.39,1.22,1.26)</f>
        <v>1.460769231</v>
      </c>
      <c r="F15" s="4">
        <f t="shared" ref="F15:G15" si="1">AVERAGE(D7,D10,D15)</f>
        <v>9.349479336</v>
      </c>
      <c r="G15" s="4">
        <f t="shared" si="1"/>
        <v>1.523257919</v>
      </c>
    </row>
    <row r="16">
      <c r="A16" s="1" t="s">
        <v>6</v>
      </c>
      <c r="B16" s="1" t="s">
        <v>7</v>
      </c>
      <c r="C16" s="2">
        <v>44424.0</v>
      </c>
      <c r="D16" s="1">
        <v>9.7536</v>
      </c>
      <c r="E16" s="1">
        <v>1.31</v>
      </c>
    </row>
    <row r="17">
      <c r="A17" s="1" t="s">
        <v>9</v>
      </c>
      <c r="B17" s="1" t="s">
        <v>7</v>
      </c>
      <c r="C17" s="2">
        <v>44309.0</v>
      </c>
      <c r="D17" s="1">
        <v>7.670801016</v>
      </c>
      <c r="E17" s="1">
        <v>1.46</v>
      </c>
    </row>
    <row r="18">
      <c r="A18" s="1" t="s">
        <v>9</v>
      </c>
      <c r="B18" s="1" t="s">
        <v>7</v>
      </c>
      <c r="C18" s="2">
        <v>44323.0</v>
      </c>
      <c r="D18" s="1">
        <v>7.7724</v>
      </c>
      <c r="E18" s="1">
        <v>1.47</v>
      </c>
    </row>
    <row r="19">
      <c r="A19" s="1" t="s">
        <v>9</v>
      </c>
      <c r="B19" s="1" t="s">
        <v>7</v>
      </c>
      <c r="C19" s="2">
        <v>44333.0</v>
      </c>
      <c r="D19" s="1">
        <v>7.62</v>
      </c>
      <c r="E19" s="1">
        <v>1.44</v>
      </c>
    </row>
    <row r="20">
      <c r="A20" s="1" t="s">
        <v>9</v>
      </c>
      <c r="B20" s="1">
        <v>1.0</v>
      </c>
      <c r="C20" s="2">
        <v>44340.0</v>
      </c>
      <c r="D20" s="4">
        <f>AVERAGE(7.62,7.62,11.5,11.75,11.5,11.75,11.5,12,13.25,13,12,13)</f>
        <v>11.37416667</v>
      </c>
      <c r="E20" s="4">
        <f>average(1.24,1.55,1.5,1.49,1.88,1.6,1.43,1.3,1.64,1.34,1.22,1.1)</f>
        <v>1.440833333</v>
      </c>
    </row>
    <row r="21">
      <c r="A21" s="1" t="s">
        <v>9</v>
      </c>
      <c r="B21" s="1" t="s">
        <v>7</v>
      </c>
      <c r="C21" s="2">
        <v>44347.0</v>
      </c>
      <c r="D21" s="1">
        <v>7.62</v>
      </c>
      <c r="E21" s="1">
        <v>1.47</v>
      </c>
    </row>
    <row r="22">
      <c r="A22" s="1" t="s">
        <v>9</v>
      </c>
      <c r="B22" s="1" t="s">
        <v>7</v>
      </c>
      <c r="C22" s="2">
        <v>44361.0</v>
      </c>
      <c r="D22" s="1">
        <v>7.62</v>
      </c>
      <c r="E22" s="1">
        <v>1.55</v>
      </c>
    </row>
    <row r="23">
      <c r="A23" s="1" t="s">
        <v>9</v>
      </c>
      <c r="B23" s="1">
        <v>2.0</v>
      </c>
      <c r="C23" s="2">
        <v>44368.0</v>
      </c>
      <c r="D23" s="1">
        <f>AVERAGE(7.62,11,12,14,12.5,11.5,12,12.5,13,12.5,14)</f>
        <v>12.05636364</v>
      </c>
      <c r="E23" s="1">
        <f>average(1.5,1.82,1.84,2,2.02,2.15,1.88,1.8,1.95,1.71,1.71)</f>
        <v>1.852727273</v>
      </c>
    </row>
    <row r="24">
      <c r="A24" s="1" t="s">
        <v>9</v>
      </c>
      <c r="B24" s="1" t="s">
        <v>7</v>
      </c>
      <c r="C24" s="2">
        <v>44375.0</v>
      </c>
      <c r="D24" s="1">
        <v>7.62</v>
      </c>
      <c r="E24" s="1">
        <v>1.49</v>
      </c>
    </row>
    <row r="25">
      <c r="A25" s="1" t="s">
        <v>9</v>
      </c>
      <c r="B25" s="1" t="s">
        <v>7</v>
      </c>
      <c r="C25" s="2">
        <v>44389.0</v>
      </c>
      <c r="D25" s="1">
        <v>7.62</v>
      </c>
      <c r="E25" s="1">
        <v>1.5</v>
      </c>
    </row>
    <row r="26">
      <c r="A26" s="1" t="s">
        <v>9</v>
      </c>
      <c r="B26" s="1" t="s">
        <v>7</v>
      </c>
      <c r="C26" s="2">
        <v>44396.0</v>
      </c>
      <c r="D26" s="1">
        <v>7.62</v>
      </c>
      <c r="E26" s="1">
        <v>1.51</v>
      </c>
    </row>
    <row r="27">
      <c r="A27" s="1" t="s">
        <v>9</v>
      </c>
      <c r="B27" s="1" t="s">
        <v>7</v>
      </c>
      <c r="C27" s="2">
        <v>44403.0</v>
      </c>
      <c r="D27" s="1">
        <v>7.62</v>
      </c>
      <c r="E27" s="1">
        <v>1.5</v>
      </c>
    </row>
    <row r="28">
      <c r="A28" s="1" t="s">
        <v>9</v>
      </c>
      <c r="B28" s="1">
        <v>3.0</v>
      </c>
      <c r="C28" s="2">
        <v>44404.0</v>
      </c>
      <c r="D28" s="4">
        <f>AVERAGE(7.62,10.5,10.75,13,12,11.5,13.5,11.5,12,12.75,13.75)</f>
        <v>11.71545455</v>
      </c>
      <c r="E28" s="4">
        <f>AVERAGE(1.5,1.8,1.66,1.82,1.96,1.8,2.08,1.97,1.6,1.64,1.52)</f>
        <v>1.759090909</v>
      </c>
      <c r="F28" s="4">
        <f t="shared" ref="F28:G28" si="2">AVERAGE(D20,D23,D28)</f>
        <v>11.71532828</v>
      </c>
      <c r="G28" s="4">
        <f t="shared" si="2"/>
        <v>1.684217172</v>
      </c>
    </row>
    <row r="29">
      <c r="A29" s="1" t="s">
        <v>9</v>
      </c>
      <c r="B29" s="1" t="s">
        <v>7</v>
      </c>
      <c r="C29" s="2">
        <v>44417.0</v>
      </c>
      <c r="D29" s="1">
        <v>7.62</v>
      </c>
      <c r="E29" s="1">
        <v>1.46</v>
      </c>
    </row>
    <row r="30">
      <c r="A30" s="1" t="s">
        <v>9</v>
      </c>
      <c r="B30" s="1" t="s">
        <v>7</v>
      </c>
      <c r="C30" s="2">
        <v>44424.0</v>
      </c>
      <c r="D30" s="1">
        <v>7.62</v>
      </c>
      <c r="E30" s="1">
        <v>1.5</v>
      </c>
    </row>
    <row r="31">
      <c r="A31" s="1" t="s">
        <v>10</v>
      </c>
      <c r="B31" s="1" t="s">
        <v>7</v>
      </c>
      <c r="C31" s="2">
        <v>44293.0</v>
      </c>
      <c r="D31" s="1">
        <v>5.9945016</v>
      </c>
      <c r="E31" s="1">
        <v>1.28</v>
      </c>
    </row>
    <row r="32">
      <c r="A32" s="1" t="s">
        <v>10</v>
      </c>
      <c r="B32" s="1" t="s">
        <v>7</v>
      </c>
      <c r="C32" s="2">
        <v>44309.0</v>
      </c>
      <c r="D32" s="1">
        <v>6.096</v>
      </c>
      <c r="E32" s="1">
        <v>1.3</v>
      </c>
    </row>
    <row r="33">
      <c r="A33" s="1" t="s">
        <v>10</v>
      </c>
      <c r="B33" s="1" t="s">
        <v>7</v>
      </c>
      <c r="C33" s="2">
        <v>44323.0</v>
      </c>
      <c r="D33" s="1">
        <v>6.096</v>
      </c>
      <c r="E33" s="1">
        <v>1.3</v>
      </c>
    </row>
    <row r="34">
      <c r="A34" s="1" t="s">
        <v>10</v>
      </c>
      <c r="B34" s="1" t="s">
        <v>7</v>
      </c>
      <c r="C34" s="2">
        <v>44333.0</v>
      </c>
      <c r="D34" s="1">
        <v>6.1722</v>
      </c>
      <c r="E34" s="1">
        <v>1.38</v>
      </c>
    </row>
    <row r="35">
      <c r="A35" s="1" t="s">
        <v>10</v>
      </c>
      <c r="B35" s="1" t="s">
        <v>7</v>
      </c>
      <c r="C35" s="2">
        <v>44347.0</v>
      </c>
      <c r="D35" s="1">
        <v>6.096</v>
      </c>
      <c r="E35" s="1">
        <v>1.31</v>
      </c>
    </row>
    <row r="36">
      <c r="A36" s="1" t="s">
        <v>10</v>
      </c>
      <c r="B36" s="1">
        <v>1.0</v>
      </c>
      <c r="C36" s="2">
        <v>44348.0</v>
      </c>
      <c r="D36" s="4">
        <f>average(6.096,13.25,15,14,11.5,10,11.5,12.5,12.25,9.75,10.5)</f>
        <v>11.486</v>
      </c>
      <c r="E36" s="4">
        <f>average(1.44,1.34,1.27,1.26,1.11,1.16,1.33,1.08,1.14,1.18,1.17)</f>
        <v>1.225454545</v>
      </c>
    </row>
    <row r="37">
      <c r="A37" s="1" t="s">
        <v>10</v>
      </c>
      <c r="B37" s="1" t="s">
        <v>7</v>
      </c>
      <c r="C37" s="2">
        <v>44361.0</v>
      </c>
      <c r="D37" s="1">
        <v>6.096</v>
      </c>
      <c r="E37" s="1">
        <v>1.32</v>
      </c>
    </row>
    <row r="38">
      <c r="A38" s="1" t="s">
        <v>10</v>
      </c>
      <c r="B38" s="1" t="s">
        <v>7</v>
      </c>
      <c r="C38" s="2">
        <v>44375.0</v>
      </c>
      <c r="D38" s="1">
        <v>6.096</v>
      </c>
      <c r="E38" s="1">
        <v>1.42</v>
      </c>
    </row>
    <row r="39">
      <c r="A39" s="1" t="s">
        <v>10</v>
      </c>
      <c r="B39" s="1">
        <v>2.0</v>
      </c>
      <c r="C39" s="2">
        <v>44376.0</v>
      </c>
      <c r="D39" s="1">
        <f>AVERAGE(6.096,14.5,15,14,15,10.75,10,11.5,12,12,11)</f>
        <v>11.986</v>
      </c>
      <c r="E39" s="1">
        <f>AVERAGE(1.44,1.3,1.18,1.28,1.24,1.3,1.42,1.26,1.06,1.18,1.3)</f>
        <v>1.269090909</v>
      </c>
    </row>
    <row r="40">
      <c r="A40" s="1" t="s">
        <v>10</v>
      </c>
      <c r="B40" s="1" t="s">
        <v>7</v>
      </c>
      <c r="C40" s="2">
        <v>44389.0</v>
      </c>
      <c r="D40" s="1">
        <v>6.096</v>
      </c>
      <c r="E40" s="1">
        <v>1.44</v>
      </c>
    </row>
    <row r="41">
      <c r="A41" s="1" t="s">
        <v>10</v>
      </c>
      <c r="B41" s="1" t="s">
        <v>7</v>
      </c>
      <c r="C41" s="2">
        <v>44396.0</v>
      </c>
      <c r="D41" s="1">
        <v>6.096</v>
      </c>
      <c r="E41" s="1">
        <v>1.65</v>
      </c>
    </row>
    <row r="42">
      <c r="A42" s="1" t="s">
        <v>10</v>
      </c>
      <c r="B42" s="1" t="s">
        <v>7</v>
      </c>
      <c r="C42" s="2">
        <v>44403.0</v>
      </c>
      <c r="D42" s="1">
        <v>6.096</v>
      </c>
      <c r="E42" s="1">
        <v>1.58</v>
      </c>
    </row>
    <row r="43">
      <c r="A43" s="1" t="s">
        <v>10</v>
      </c>
      <c r="B43" s="1">
        <v>3.0</v>
      </c>
      <c r="C43" s="2">
        <v>44410.0</v>
      </c>
      <c r="D43" s="4">
        <f>average(6.096,14,15,14.25,15.5,10.5,10,12,11,10,10.5)</f>
        <v>11.71327273</v>
      </c>
      <c r="E43" s="4">
        <f>average(1.4,1.19,1.25,1.13,1.18,1.39,1.29,1.14,1.25,1.38,1.27)</f>
        <v>1.260909091</v>
      </c>
      <c r="F43" s="4">
        <f t="shared" ref="F43:G43" si="3">AVERAGE(D36,D39,D43)</f>
        <v>11.72842424</v>
      </c>
      <c r="G43" s="4">
        <f t="shared" si="3"/>
        <v>1.251818182</v>
      </c>
    </row>
    <row r="44">
      <c r="A44" s="1" t="s">
        <v>10</v>
      </c>
      <c r="B44" s="1" t="s">
        <v>7</v>
      </c>
      <c r="C44" s="2">
        <v>44417.0</v>
      </c>
      <c r="D44" s="1">
        <v>6.096</v>
      </c>
      <c r="E44" s="1">
        <v>1.22</v>
      </c>
    </row>
    <row r="45">
      <c r="A45" s="1" t="s">
        <v>10</v>
      </c>
      <c r="B45" s="1" t="s">
        <v>7</v>
      </c>
      <c r="C45" s="2">
        <v>44424.0</v>
      </c>
      <c r="D45" s="1">
        <v>6.096</v>
      </c>
      <c r="E45" s="1">
        <v>1.32</v>
      </c>
    </row>
  </sheetData>
  <drawing r:id="rId1"/>
</worksheet>
</file>