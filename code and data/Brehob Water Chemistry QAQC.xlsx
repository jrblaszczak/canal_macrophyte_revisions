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szczak\Dropbox\UNR\Publications\Submitted or In Review\0_2025 Brehob Macrophytes\Freshwater Science 2025\Revisions October 2025\"/>
    </mc:Choice>
  </mc:AlternateContent>
  <xr:revisionPtr revIDLastSave="0" documentId="13_ncr:1_{A956C6BD-9C23-4C5A-A1E4-73656BF3A146}" xr6:coauthVersionLast="47" xr6:coauthVersionMax="47" xr10:uidLastSave="{00000000-0000-0000-0000-000000000000}"/>
  <bookViews>
    <workbookView xWindow="-110" yWindow="-110" windowWidth="38620" windowHeight="21220" activeTab="4" xr2:uid="{A410DF43-B44D-4940-ADDE-7BC6A4FA752B}"/>
  </bookViews>
  <sheets>
    <sheet name="Final Compiled with QAQC" sheetId="2" r:id="rId1"/>
    <sheet name="Shimadzu" sheetId="1" r:id="rId2"/>
    <sheet name="IC - NO3 only" sheetId="3" r:id="rId3"/>
    <sheet name="AQ400" sheetId="4" r:id="rId4"/>
    <sheet name="YSI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11" i="2"/>
  <c r="I12" i="2"/>
  <c r="I13" i="2"/>
  <c r="I5" i="2"/>
  <c r="I6" i="2"/>
  <c r="I7" i="2"/>
  <c r="I14" i="2"/>
  <c r="I15" i="2"/>
  <c r="I16" i="2"/>
  <c r="I8" i="2"/>
  <c r="I9" i="2"/>
  <c r="I10" i="2"/>
  <c r="I17" i="2"/>
  <c r="I18" i="2"/>
  <c r="I19" i="2"/>
  <c r="I2" i="2"/>
  <c r="J20" i="4"/>
  <c r="I20" i="4"/>
  <c r="I12" i="4"/>
  <c r="I4" i="4"/>
  <c r="J3" i="4"/>
  <c r="J5" i="4"/>
  <c r="J6" i="4"/>
  <c r="J7" i="4"/>
  <c r="J8" i="4"/>
  <c r="J9" i="4"/>
  <c r="J10" i="4"/>
  <c r="J12" i="4" s="1"/>
  <c r="J11" i="4"/>
  <c r="J13" i="4"/>
  <c r="J14" i="4"/>
  <c r="J15" i="4"/>
  <c r="J16" i="4"/>
  <c r="J17" i="4"/>
  <c r="J18" i="4"/>
  <c r="J19" i="4"/>
  <c r="J21" i="4"/>
  <c r="J22" i="4"/>
  <c r="J23" i="4"/>
  <c r="J24" i="4"/>
  <c r="J25" i="4"/>
  <c r="J2" i="4"/>
  <c r="J4" i="4" s="1"/>
  <c r="F25" i="3"/>
  <c r="F17" i="3"/>
  <c r="F9" i="3"/>
  <c r="F9" i="1"/>
  <c r="G9" i="1"/>
  <c r="H9" i="1"/>
  <c r="F17" i="1"/>
  <c r="G17" i="1"/>
  <c r="H17" i="1"/>
</calcChain>
</file>

<file path=xl/sharedStrings.xml><?xml version="1.0" encoding="utf-8"?>
<sst xmlns="http://schemas.openxmlformats.org/spreadsheetml/2006/main" count="334" uniqueCount="46">
  <si>
    <t>Event</t>
  </si>
  <si>
    <t>Date</t>
  </si>
  <si>
    <t>Canal</t>
  </si>
  <si>
    <t>Treatment</t>
  </si>
  <si>
    <t>Source</t>
  </si>
  <si>
    <t>TDC-mg/L</t>
  </si>
  <si>
    <t>DOC-mg/L</t>
  </si>
  <si>
    <t>TDN-ug/L</t>
  </si>
  <si>
    <t>DRL</t>
  </si>
  <si>
    <t>NA</t>
  </si>
  <si>
    <t>SW</t>
  </si>
  <si>
    <t>PW</t>
  </si>
  <si>
    <t>MSL</t>
  </si>
  <si>
    <t>A</t>
  </si>
  <si>
    <t>C</t>
  </si>
  <si>
    <t>T</t>
  </si>
  <si>
    <t>DL</t>
  </si>
  <si>
    <t>UL</t>
  </si>
  <si>
    <t>TDC_mgL</t>
  </si>
  <si>
    <t>DOC_mgL</t>
  </si>
  <si>
    <t>TDN_ugL</t>
  </si>
  <si>
    <t>Nitrate-ppb</t>
  </si>
  <si>
    <t>**half the mdl is 5 ppb = 5 ug/L</t>
  </si>
  <si>
    <t>Nitrate_ugL</t>
  </si>
  <si>
    <t>mean of C and T</t>
  </si>
  <si>
    <t>excluding missing T sample</t>
  </si>
  <si>
    <t>Ammonia-mg/L</t>
  </si>
  <si>
    <t>o-Phosphate-ug/L</t>
  </si>
  <si>
    <t>*NH4 mdl is 0.002 mg/L</t>
  </si>
  <si>
    <t>*o-Phos mdl is 0.402 ug/L</t>
  </si>
  <si>
    <t>NH3_mgL</t>
  </si>
  <si>
    <t>oPhos_ugL</t>
  </si>
  <si>
    <t>half the mdl replacement</t>
  </si>
  <si>
    <t>**still need to convert NH3 to NH4</t>
  </si>
  <si>
    <t>NH3_ugL</t>
  </si>
  <si>
    <t>TempC</t>
  </si>
  <si>
    <t>SpC_uScm</t>
  </si>
  <si>
    <t>pH</t>
  </si>
  <si>
    <t>*in spreadsheet 7/26/25</t>
  </si>
  <si>
    <t>*taken on 5/31/25</t>
  </si>
  <si>
    <t>Nitrate was too high not too low</t>
  </si>
  <si>
    <t>*paired by Fl concentrations and value within std curve; unclear why not included</t>
  </si>
  <si>
    <t>different from Github says 240.7 and 8.86</t>
  </si>
  <si>
    <t>different from Github (266.4 and 8.34)</t>
  </si>
  <si>
    <t>TDN-NO3-NH4</t>
  </si>
  <si>
    <t>NH4_ugL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</si>
</sst>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7283-277A-44C0-8837-DD0ADF0F0675}">
  <dimension ref="A1:Q1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3" sqref="N13"/>
    </sheetView>
  </sheetViews>
  <sheetFormatPr defaultRowHeight="14.5" x14ac:dyDescent="0.35"/>
  <cols>
    <col min="1" max="1" width="5.26953125" bestFit="1" customWidth="1"/>
    <col min="2" max="2" width="5.54296875" bestFit="1" customWidth="1"/>
    <col min="3" max="3" width="6.453125" bestFit="1" customWidth="1"/>
    <col min="4" max="4" width="8.453125" bestFit="1" customWidth="1"/>
    <col min="5" max="5" width="8.90625" bestFit="1" customWidth="1"/>
    <col min="6" max="6" width="7.90625" bestFit="1" customWidth="1"/>
    <col min="7" max="7" width="10.08984375" bestFit="1" customWidth="1"/>
    <col min="8" max="8" width="8.54296875" bestFit="1" customWidth="1"/>
    <col min="9" max="9" width="8" bestFit="1" customWidth="1"/>
    <col min="10" max="12" width="8" customWidth="1"/>
    <col min="13" max="13" width="9.453125" bestFit="1" customWidth="1"/>
    <col min="14" max="14" width="6.54296875" bestFit="1" customWidth="1"/>
    <col min="15" max="15" width="9.453125" bestFit="1" customWidth="1"/>
    <col min="16" max="16" width="5.81640625" bestFit="1" customWidth="1"/>
  </cols>
  <sheetData>
    <row r="1" spans="1:17" x14ac:dyDescent="0.35">
      <c r="A1" t="s">
        <v>0</v>
      </c>
      <c r="B1" t="s">
        <v>2</v>
      </c>
      <c r="C1" t="s">
        <v>4</v>
      </c>
      <c r="D1" t="s">
        <v>18</v>
      </c>
      <c r="E1" t="s">
        <v>19</v>
      </c>
      <c r="F1" t="s">
        <v>20</v>
      </c>
      <c r="G1" t="s">
        <v>23</v>
      </c>
      <c r="H1" t="s">
        <v>30</v>
      </c>
      <c r="I1" t="s">
        <v>34</v>
      </c>
      <c r="J1" t="s">
        <v>45</v>
      </c>
      <c r="K1" t="s">
        <v>44</v>
      </c>
      <c r="M1" t="s">
        <v>31</v>
      </c>
      <c r="N1" t="s">
        <v>35</v>
      </c>
      <c r="O1" t="s">
        <v>36</v>
      </c>
      <c r="P1" t="s">
        <v>37</v>
      </c>
    </row>
    <row r="2" spans="1:17" x14ac:dyDescent="0.35">
      <c r="A2">
        <v>1</v>
      </c>
      <c r="B2" t="s">
        <v>13</v>
      </c>
      <c r="C2" t="s">
        <v>11</v>
      </c>
      <c r="D2" s="2">
        <v>2.6102286755000002</v>
      </c>
      <c r="E2" s="2">
        <v>1.8150027739999999</v>
      </c>
      <c r="F2" s="2">
        <v>192.92063490000001</v>
      </c>
      <c r="G2" s="3">
        <v>292.09090909999998</v>
      </c>
      <c r="H2">
        <v>7.4999999999999997E-3</v>
      </c>
      <c r="I2">
        <f t="shared" ref="I2:I19" si="0">H2*1000</f>
        <v>7.5</v>
      </c>
      <c r="M2" s="3">
        <v>68.0655</v>
      </c>
      <c r="N2" t="s">
        <v>9</v>
      </c>
      <c r="O2" t="s">
        <v>9</v>
      </c>
      <c r="P2" t="s">
        <v>9</v>
      </c>
    </row>
    <row r="3" spans="1:17" x14ac:dyDescent="0.35">
      <c r="A3">
        <v>2</v>
      </c>
      <c r="B3" t="s">
        <v>13</v>
      </c>
      <c r="C3" t="s">
        <v>11</v>
      </c>
      <c r="D3" s="2">
        <v>3.5332943544999997</v>
      </c>
      <c r="E3" s="2">
        <v>2.5011748964999998</v>
      </c>
      <c r="F3" s="2">
        <v>297.65079365000003</v>
      </c>
      <c r="G3" s="3">
        <v>219.02272730000001</v>
      </c>
      <c r="H3">
        <v>7.7100000000000002E-2</v>
      </c>
      <c r="I3">
        <f t="shared" si="0"/>
        <v>77.100000000000009</v>
      </c>
      <c r="M3" s="3">
        <v>33.322000000000003</v>
      </c>
      <c r="N3" t="s">
        <v>9</v>
      </c>
      <c r="O3" t="s">
        <v>9</v>
      </c>
      <c r="P3" t="s">
        <v>9</v>
      </c>
    </row>
    <row r="4" spans="1:17" x14ac:dyDescent="0.35">
      <c r="A4">
        <v>3</v>
      </c>
      <c r="B4" t="s">
        <v>13</v>
      </c>
      <c r="C4" t="s">
        <v>11</v>
      </c>
      <c r="D4" s="2">
        <v>3.2295848760000001</v>
      </c>
      <c r="E4" s="2">
        <v>2.1690218990000001</v>
      </c>
      <c r="F4" s="2">
        <v>309.23809519999998</v>
      </c>
      <c r="G4" s="3">
        <v>238.18181820000001</v>
      </c>
      <c r="H4">
        <v>5.2749999999999998E-2</v>
      </c>
      <c r="I4">
        <f t="shared" si="0"/>
        <v>52.75</v>
      </c>
      <c r="M4" s="3">
        <v>31.208500000000001</v>
      </c>
      <c r="N4" t="s">
        <v>9</v>
      </c>
      <c r="O4" t="s">
        <v>9</v>
      </c>
      <c r="P4" t="s">
        <v>9</v>
      </c>
    </row>
    <row r="5" spans="1:17" x14ac:dyDescent="0.35">
      <c r="A5">
        <v>1</v>
      </c>
      <c r="B5" t="s">
        <v>16</v>
      </c>
      <c r="C5" t="s">
        <v>11</v>
      </c>
      <c r="D5" s="2">
        <v>4.5662314039999998</v>
      </c>
      <c r="E5" s="2">
        <v>3.0619431480000001</v>
      </c>
      <c r="F5" s="2">
        <v>321.77777780000002</v>
      </c>
      <c r="G5" s="5" t="s">
        <v>9</v>
      </c>
      <c r="H5">
        <v>3.73E-2</v>
      </c>
      <c r="I5">
        <f t="shared" si="0"/>
        <v>37.299999999999997</v>
      </c>
      <c r="M5" s="3">
        <v>9.5</v>
      </c>
      <c r="N5" t="s">
        <v>9</v>
      </c>
      <c r="O5" t="s">
        <v>9</v>
      </c>
      <c r="P5" t="s">
        <v>9</v>
      </c>
    </row>
    <row r="6" spans="1:17" x14ac:dyDescent="0.35">
      <c r="A6">
        <v>2</v>
      </c>
      <c r="B6" t="s">
        <v>16</v>
      </c>
      <c r="C6" t="s">
        <v>11</v>
      </c>
      <c r="D6" s="2">
        <v>7.1891768989999996</v>
      </c>
      <c r="E6" s="2">
        <v>4.620312653</v>
      </c>
      <c r="F6" s="2">
        <v>386.61904759999999</v>
      </c>
      <c r="G6" s="5" t="s">
        <v>9</v>
      </c>
      <c r="H6">
        <v>6.2399999999999997E-2</v>
      </c>
      <c r="I6">
        <f t="shared" si="0"/>
        <v>62.4</v>
      </c>
      <c r="M6" s="3">
        <v>12.407999999999999</v>
      </c>
      <c r="N6" t="s">
        <v>9</v>
      </c>
      <c r="O6" t="s">
        <v>9</v>
      </c>
      <c r="P6" t="s">
        <v>9</v>
      </c>
    </row>
    <row r="7" spans="1:17" x14ac:dyDescent="0.35">
      <c r="A7">
        <v>3</v>
      </c>
      <c r="B7" t="s">
        <v>16</v>
      </c>
      <c r="C7" t="s">
        <v>11</v>
      </c>
      <c r="D7" s="2">
        <v>4.7919833690000004</v>
      </c>
      <c r="E7" s="2">
        <v>3.4405208709999999</v>
      </c>
      <c r="F7" s="2">
        <v>520.7460317</v>
      </c>
      <c r="G7" s="3">
        <v>108.0909091</v>
      </c>
      <c r="H7">
        <v>0.32240000000000002</v>
      </c>
      <c r="I7">
        <f t="shared" si="0"/>
        <v>322.40000000000003</v>
      </c>
      <c r="M7" s="3">
        <v>13.917999999999999</v>
      </c>
      <c r="N7" t="s">
        <v>9</v>
      </c>
      <c r="O7" t="s">
        <v>9</v>
      </c>
      <c r="P7" t="s">
        <v>9</v>
      </c>
    </row>
    <row r="8" spans="1:17" x14ac:dyDescent="0.35">
      <c r="A8">
        <v>1</v>
      </c>
      <c r="B8" t="s">
        <v>17</v>
      </c>
      <c r="C8" t="s">
        <v>11</v>
      </c>
      <c r="D8" s="2">
        <v>7.3986877150000003</v>
      </c>
      <c r="E8" s="2">
        <v>4.4995594140000001</v>
      </c>
      <c r="F8" s="2">
        <v>266.85714289999999</v>
      </c>
      <c r="G8" s="3">
        <v>344.81818179999999</v>
      </c>
      <c r="H8">
        <v>2.7699999999999999E-2</v>
      </c>
      <c r="I8">
        <f t="shared" si="0"/>
        <v>27.7</v>
      </c>
      <c r="M8" s="3">
        <v>23.059000000000001</v>
      </c>
      <c r="N8" t="s">
        <v>9</v>
      </c>
      <c r="O8" t="s">
        <v>9</v>
      </c>
      <c r="P8" t="s">
        <v>9</v>
      </c>
    </row>
    <row r="9" spans="1:17" x14ac:dyDescent="0.35">
      <c r="A9">
        <v>2</v>
      </c>
      <c r="B9" t="s">
        <v>17</v>
      </c>
      <c r="C9" t="s">
        <v>11</v>
      </c>
      <c r="D9" s="2">
        <v>8.0012343270000006</v>
      </c>
      <c r="E9" s="2">
        <v>5.297509872</v>
      </c>
      <c r="F9" s="2">
        <v>711.06349209999996</v>
      </c>
      <c r="G9" s="3">
        <v>357.45454549999999</v>
      </c>
      <c r="H9">
        <v>0.3629</v>
      </c>
      <c r="I9">
        <f t="shared" si="0"/>
        <v>362.9</v>
      </c>
      <c r="M9" s="3">
        <v>7.63</v>
      </c>
      <c r="N9" t="s">
        <v>9</v>
      </c>
      <c r="O9" t="s">
        <v>9</v>
      </c>
      <c r="P9" t="s">
        <v>9</v>
      </c>
    </row>
    <row r="10" spans="1:17" x14ac:dyDescent="0.35">
      <c r="A10">
        <v>3</v>
      </c>
      <c r="B10" t="s">
        <v>17</v>
      </c>
      <c r="C10" t="s">
        <v>11</v>
      </c>
      <c r="D10" s="2">
        <v>10.478009480000001</v>
      </c>
      <c r="E10" s="2">
        <v>7.002741425</v>
      </c>
      <c r="F10" s="2">
        <v>1383.7619050000001</v>
      </c>
      <c r="G10" s="3">
        <v>183.63636360000001</v>
      </c>
      <c r="H10">
        <v>0.77170000000000005</v>
      </c>
      <c r="I10">
        <f t="shared" si="0"/>
        <v>771.7</v>
      </c>
      <c r="M10" s="3">
        <v>10.08</v>
      </c>
      <c r="N10" t="s">
        <v>9</v>
      </c>
      <c r="O10" t="s">
        <v>9</v>
      </c>
      <c r="P10" t="s">
        <v>9</v>
      </c>
    </row>
    <row r="11" spans="1:17" x14ac:dyDescent="0.35">
      <c r="A11">
        <v>1</v>
      </c>
      <c r="B11" t="s">
        <v>13</v>
      </c>
      <c r="C11" t="s">
        <v>10</v>
      </c>
      <c r="D11" s="2">
        <v>22.68648087</v>
      </c>
      <c r="E11" s="2">
        <v>13.53483894</v>
      </c>
      <c r="F11" s="2">
        <v>279</v>
      </c>
      <c r="G11" s="3">
        <v>62.909090910000003</v>
      </c>
      <c r="H11">
        <v>8.8999999999999999E-3</v>
      </c>
      <c r="I11">
        <f t="shared" si="0"/>
        <v>8.9</v>
      </c>
      <c r="M11" s="3">
        <v>7.181</v>
      </c>
      <c r="N11" s="3">
        <v>18.600000000000001</v>
      </c>
      <c r="O11" s="5">
        <v>266.7</v>
      </c>
      <c r="P11" s="4">
        <v>8.3550000000000004</v>
      </c>
      <c r="Q11" t="s">
        <v>43</v>
      </c>
    </row>
    <row r="12" spans="1:17" x14ac:dyDescent="0.35">
      <c r="A12">
        <v>2</v>
      </c>
      <c r="B12" t="s">
        <v>13</v>
      </c>
      <c r="C12" t="s">
        <v>10</v>
      </c>
      <c r="D12" s="2">
        <v>25.527057750000001</v>
      </c>
      <c r="E12" s="2">
        <v>15.06383604</v>
      </c>
      <c r="F12" s="2">
        <v>518.04761900000005</v>
      </c>
      <c r="G12" s="3">
        <v>215.31818179999999</v>
      </c>
      <c r="H12">
        <v>4.82E-2</v>
      </c>
      <c r="I12">
        <f t="shared" si="0"/>
        <v>48.2</v>
      </c>
      <c r="M12" s="3">
        <v>43.695999999999998</v>
      </c>
      <c r="N12" s="3">
        <v>23.1</v>
      </c>
      <c r="O12" s="3">
        <v>360</v>
      </c>
      <c r="P12" s="2">
        <v>8.06</v>
      </c>
    </row>
    <row r="13" spans="1:17" x14ac:dyDescent="0.35">
      <c r="A13">
        <v>3</v>
      </c>
      <c r="B13" t="s">
        <v>13</v>
      </c>
      <c r="C13" t="s">
        <v>10</v>
      </c>
      <c r="D13" s="2">
        <v>27.156044959999999</v>
      </c>
      <c r="E13" s="2">
        <v>16.43454848</v>
      </c>
      <c r="F13" s="2">
        <v>415.19047619999998</v>
      </c>
      <c r="G13" s="3">
        <v>83.090909089999997</v>
      </c>
      <c r="H13">
        <v>2.9499999999999998E-2</v>
      </c>
      <c r="I13">
        <f t="shared" si="0"/>
        <v>29.5</v>
      </c>
      <c r="M13" s="3">
        <v>22.204999999999998</v>
      </c>
      <c r="N13" s="3" t="s">
        <v>9</v>
      </c>
      <c r="O13" s="5">
        <v>380.4</v>
      </c>
      <c r="P13" s="4">
        <v>8.0299999999999994</v>
      </c>
    </row>
    <row r="14" spans="1:17" x14ac:dyDescent="0.35">
      <c r="A14">
        <v>1</v>
      </c>
      <c r="B14" t="s">
        <v>16</v>
      </c>
      <c r="C14" t="s">
        <v>10</v>
      </c>
      <c r="D14" s="2">
        <v>20.287663219999999</v>
      </c>
      <c r="E14" s="2">
        <v>12.580235630000001</v>
      </c>
      <c r="F14" s="2">
        <v>245.5079365</v>
      </c>
      <c r="G14" s="3">
        <v>33.363636360000001</v>
      </c>
      <c r="H14">
        <v>2.8E-3</v>
      </c>
      <c r="I14">
        <f t="shared" si="0"/>
        <v>2.8</v>
      </c>
      <c r="M14" s="3">
        <v>5.5110000000000001</v>
      </c>
      <c r="N14" s="3">
        <v>15.85</v>
      </c>
      <c r="O14" s="5">
        <v>235.7</v>
      </c>
      <c r="P14" s="4">
        <v>8.5500000000000007</v>
      </c>
      <c r="Q14" t="s">
        <v>42</v>
      </c>
    </row>
    <row r="15" spans="1:17" x14ac:dyDescent="0.35">
      <c r="A15">
        <v>2</v>
      </c>
      <c r="B15" t="s">
        <v>16</v>
      </c>
      <c r="C15" t="s">
        <v>10</v>
      </c>
      <c r="D15" s="2">
        <v>23.342623270000001</v>
      </c>
      <c r="E15" s="2">
        <v>13.087725600000001</v>
      </c>
      <c r="F15" s="2">
        <v>297.88888889999998</v>
      </c>
      <c r="G15" s="3">
        <v>100.4090909</v>
      </c>
      <c r="H15">
        <v>7.1000000000000004E-3</v>
      </c>
      <c r="I15">
        <f t="shared" si="0"/>
        <v>7.1000000000000005</v>
      </c>
      <c r="M15" s="3">
        <v>11.054</v>
      </c>
      <c r="N15" s="3">
        <v>21.2</v>
      </c>
      <c r="O15" s="3">
        <v>314</v>
      </c>
      <c r="P15" s="2">
        <v>8.1300000000000008</v>
      </c>
    </row>
    <row r="16" spans="1:17" x14ac:dyDescent="0.35">
      <c r="A16">
        <v>3</v>
      </c>
      <c r="B16" t="s">
        <v>16</v>
      </c>
      <c r="C16" t="s">
        <v>10</v>
      </c>
      <c r="D16" s="2">
        <v>26.987137010000001</v>
      </c>
      <c r="E16" s="2">
        <v>16.03475735</v>
      </c>
      <c r="F16" s="2">
        <v>349.7142857</v>
      </c>
      <c r="G16" s="3">
        <v>89.545454550000002</v>
      </c>
      <c r="H16">
        <v>2.3800000000000002E-2</v>
      </c>
      <c r="I16">
        <f t="shared" si="0"/>
        <v>23.8</v>
      </c>
      <c r="M16" s="3">
        <v>15.067</v>
      </c>
      <c r="N16" s="3">
        <v>23</v>
      </c>
      <c r="O16" s="3">
        <v>382.3</v>
      </c>
      <c r="P16" s="2">
        <v>8.07</v>
      </c>
    </row>
    <row r="17" spans="1:16" x14ac:dyDescent="0.35">
      <c r="A17">
        <v>1</v>
      </c>
      <c r="B17" t="s">
        <v>17</v>
      </c>
      <c r="C17" t="s">
        <v>10</v>
      </c>
      <c r="D17" s="2">
        <v>17.219710259999999</v>
      </c>
      <c r="E17" s="2">
        <v>10.70692863</v>
      </c>
      <c r="F17" s="2">
        <v>262.33333329999999</v>
      </c>
      <c r="G17" s="5" t="s">
        <v>9</v>
      </c>
      <c r="H17">
        <v>1E-3</v>
      </c>
      <c r="I17">
        <f t="shared" si="0"/>
        <v>1</v>
      </c>
      <c r="M17" s="3">
        <v>3.6949999999999998</v>
      </c>
      <c r="N17" s="3">
        <v>16.899999999999999</v>
      </c>
      <c r="O17" s="3">
        <v>270.39999999999998</v>
      </c>
      <c r="P17" s="2">
        <v>8.89</v>
      </c>
    </row>
    <row r="18" spans="1:16" x14ac:dyDescent="0.35">
      <c r="A18">
        <v>2</v>
      </c>
      <c r="B18" t="s">
        <v>17</v>
      </c>
      <c r="C18" t="s">
        <v>10</v>
      </c>
      <c r="D18" s="2">
        <v>23.659325670000001</v>
      </c>
      <c r="E18" s="2">
        <v>13.00776737</v>
      </c>
      <c r="F18" s="2">
        <v>501.06349210000002</v>
      </c>
      <c r="G18" s="3">
        <v>146.63636360000001</v>
      </c>
      <c r="H18">
        <v>3.7000000000000002E-3</v>
      </c>
      <c r="I18">
        <f t="shared" si="0"/>
        <v>3.7</v>
      </c>
      <c r="M18" s="3">
        <v>13.231</v>
      </c>
      <c r="N18" s="3">
        <v>21.9</v>
      </c>
      <c r="O18" s="3">
        <v>325.2</v>
      </c>
      <c r="P18" s="2">
        <v>7.93</v>
      </c>
    </row>
    <row r="19" spans="1:16" x14ac:dyDescent="0.35">
      <c r="A19">
        <v>3</v>
      </c>
      <c r="B19" t="s">
        <v>17</v>
      </c>
      <c r="C19" t="s">
        <v>10</v>
      </c>
      <c r="D19" s="2">
        <v>26.55837069</v>
      </c>
      <c r="E19" s="2">
        <v>15.73287425</v>
      </c>
      <c r="F19" s="2">
        <v>644.07936510000002</v>
      </c>
      <c r="G19" s="3">
        <v>132.72727269999999</v>
      </c>
      <c r="H19">
        <v>0.1278</v>
      </c>
      <c r="I19">
        <f t="shared" si="0"/>
        <v>127.8</v>
      </c>
      <c r="M19" s="3">
        <v>19.733000000000001</v>
      </c>
      <c r="N19" s="3">
        <v>24.1</v>
      </c>
      <c r="O19" s="3">
        <v>387</v>
      </c>
      <c r="P19" s="2">
        <v>8.1999999999999993</v>
      </c>
    </row>
  </sheetData>
  <sortState xmlns:xlrd2="http://schemas.microsoft.com/office/spreadsheetml/2017/richdata2" ref="A2:M19">
    <sortCondition ref="C2:C19"/>
    <sortCondition ref="B2:B19"/>
    <sortCondition ref="A2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82E1-3F9B-49DB-AEC6-4D9C182C9547}">
  <dimension ref="A1:H25"/>
  <sheetViews>
    <sheetView workbookViewId="0">
      <selection activeCell="F25" sqref="F25"/>
    </sheetView>
  </sheetViews>
  <sheetFormatPr defaultRowHeight="14.5" x14ac:dyDescent="0.35"/>
  <cols>
    <col min="1" max="1" width="5.26953125" bestFit="1" customWidth="1"/>
    <col min="2" max="2" width="9.08984375" bestFit="1" customWidth="1"/>
    <col min="3" max="3" width="5.54296875" bestFit="1" customWidth="1"/>
    <col min="4" max="4" width="9.1796875" bestFit="1" customWidth="1"/>
    <col min="5" max="5" width="6.453125" bestFit="1" customWidth="1"/>
    <col min="6" max="7" width="11.90625" bestFit="1" customWidth="1"/>
    <col min="8" max="8" width="12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44340</v>
      </c>
      <c r="C2" t="s">
        <v>16</v>
      </c>
      <c r="D2" t="s">
        <v>9</v>
      </c>
      <c r="E2" t="s">
        <v>10</v>
      </c>
      <c r="F2" s="2">
        <v>20.287663219999999</v>
      </c>
      <c r="G2" s="2">
        <v>12.580235630000001</v>
      </c>
      <c r="H2" s="2">
        <v>245.5079365</v>
      </c>
    </row>
    <row r="3" spans="1:8" x14ac:dyDescent="0.35">
      <c r="A3">
        <v>1</v>
      </c>
      <c r="B3" s="1">
        <v>44340</v>
      </c>
      <c r="C3" t="s">
        <v>16</v>
      </c>
      <c r="D3" t="s">
        <v>9</v>
      </c>
      <c r="E3" t="s">
        <v>11</v>
      </c>
      <c r="F3" s="2">
        <v>4.5662314039999998</v>
      </c>
      <c r="G3" s="2">
        <v>3.0619431480000001</v>
      </c>
      <c r="H3" s="2">
        <v>321.77777780000002</v>
      </c>
    </row>
    <row r="4" spans="1:8" x14ac:dyDescent="0.35">
      <c r="A4">
        <v>1</v>
      </c>
      <c r="B4" s="1">
        <v>44348</v>
      </c>
      <c r="C4" t="s">
        <v>17</v>
      </c>
      <c r="D4" t="s">
        <v>9</v>
      </c>
      <c r="E4" t="s">
        <v>10</v>
      </c>
      <c r="F4" s="2">
        <v>17.219710259999999</v>
      </c>
      <c r="G4" s="2">
        <v>10.70692863</v>
      </c>
      <c r="H4" s="2">
        <v>262.33333329999999</v>
      </c>
    </row>
    <row r="5" spans="1:8" x14ac:dyDescent="0.35">
      <c r="A5">
        <v>1</v>
      </c>
      <c r="B5" s="1">
        <v>44348</v>
      </c>
      <c r="C5" t="s">
        <v>17</v>
      </c>
      <c r="D5" t="s">
        <v>9</v>
      </c>
      <c r="E5" t="s">
        <v>11</v>
      </c>
      <c r="F5" s="2">
        <v>7.3986877150000003</v>
      </c>
      <c r="G5" s="2">
        <v>4.4995594140000001</v>
      </c>
      <c r="H5" s="2">
        <v>266.85714289999999</v>
      </c>
    </row>
    <row r="6" spans="1:8" x14ac:dyDescent="0.35">
      <c r="A6">
        <v>1</v>
      </c>
      <c r="B6" s="1">
        <v>44354</v>
      </c>
      <c r="C6" t="s">
        <v>13</v>
      </c>
      <c r="D6" t="s">
        <v>9</v>
      </c>
      <c r="E6" t="s">
        <v>10</v>
      </c>
      <c r="F6" s="2">
        <v>22.68648087</v>
      </c>
      <c r="G6" s="2">
        <v>13.53483894</v>
      </c>
      <c r="H6" s="2">
        <v>279</v>
      </c>
    </row>
    <row r="7" spans="1:8" x14ac:dyDescent="0.35">
      <c r="A7">
        <v>1</v>
      </c>
      <c r="B7" s="1">
        <v>44354</v>
      </c>
      <c r="C7" t="s">
        <v>13</v>
      </c>
      <c r="D7" t="s">
        <v>14</v>
      </c>
      <c r="E7" t="s">
        <v>11</v>
      </c>
      <c r="F7" s="2">
        <v>3.024946404</v>
      </c>
      <c r="G7" s="2">
        <v>2.114356581</v>
      </c>
      <c r="H7" s="2">
        <v>112.3968254</v>
      </c>
    </row>
    <row r="8" spans="1:8" x14ac:dyDescent="0.35">
      <c r="A8">
        <v>1</v>
      </c>
      <c r="B8" s="1">
        <v>44354</v>
      </c>
      <c r="C8" t="s">
        <v>13</v>
      </c>
      <c r="D8" t="s">
        <v>15</v>
      </c>
      <c r="E8" t="s">
        <v>11</v>
      </c>
      <c r="F8" s="2">
        <v>2.1955109469999998</v>
      </c>
      <c r="G8" s="2">
        <v>1.515648967</v>
      </c>
      <c r="H8" s="2">
        <v>273.44444440000001</v>
      </c>
    </row>
    <row r="9" spans="1:8" x14ac:dyDescent="0.35">
      <c r="B9" s="1"/>
      <c r="F9" s="2">
        <f>AVERAGE(F7:F8)</f>
        <v>2.6102286755000002</v>
      </c>
      <c r="G9" s="2">
        <f>AVERAGE(G7:G8)</f>
        <v>1.8150027739999999</v>
      </c>
      <c r="H9" s="2">
        <f>AVERAGE(H7:H8)</f>
        <v>192.92063490000001</v>
      </c>
    </row>
    <row r="10" spans="1:8" x14ac:dyDescent="0.35">
      <c r="A10">
        <v>2</v>
      </c>
      <c r="B10" s="1">
        <v>44368</v>
      </c>
      <c r="C10" t="s">
        <v>16</v>
      </c>
      <c r="D10" t="s">
        <v>9</v>
      </c>
      <c r="E10" t="s">
        <v>10</v>
      </c>
      <c r="F10" s="2">
        <v>23.342623270000001</v>
      </c>
      <c r="G10" s="2">
        <v>13.087725600000001</v>
      </c>
      <c r="H10" s="2">
        <v>297.88888889999998</v>
      </c>
    </row>
    <row r="11" spans="1:8" x14ac:dyDescent="0.35">
      <c r="A11">
        <v>2</v>
      </c>
      <c r="B11" s="1">
        <v>44368</v>
      </c>
      <c r="C11" t="s">
        <v>16</v>
      </c>
      <c r="D11" t="s">
        <v>9</v>
      </c>
      <c r="E11" t="s">
        <v>11</v>
      </c>
      <c r="F11" s="2">
        <v>7.1891768989999996</v>
      </c>
      <c r="G11" s="2">
        <v>4.620312653</v>
      </c>
      <c r="H11" s="2">
        <v>386.61904759999999</v>
      </c>
    </row>
    <row r="12" spans="1:8" x14ac:dyDescent="0.35">
      <c r="A12">
        <v>2</v>
      </c>
      <c r="B12" s="1">
        <v>44376</v>
      </c>
      <c r="C12" t="s">
        <v>17</v>
      </c>
      <c r="D12" t="s">
        <v>9</v>
      </c>
      <c r="E12" t="s">
        <v>10</v>
      </c>
      <c r="F12" s="2">
        <v>23.659325670000001</v>
      </c>
      <c r="G12" s="2">
        <v>13.00776737</v>
      </c>
      <c r="H12" s="2">
        <v>501.06349210000002</v>
      </c>
    </row>
    <row r="13" spans="1:8" x14ac:dyDescent="0.35">
      <c r="A13">
        <v>2</v>
      </c>
      <c r="B13" s="1">
        <v>44376</v>
      </c>
      <c r="C13" t="s">
        <v>17</v>
      </c>
      <c r="D13" t="s">
        <v>9</v>
      </c>
      <c r="E13" t="s">
        <v>11</v>
      </c>
      <c r="F13" s="2">
        <v>8.0012343270000006</v>
      </c>
      <c r="G13" s="2">
        <v>5.297509872</v>
      </c>
      <c r="H13" s="2">
        <v>711.06349209999996</v>
      </c>
    </row>
    <row r="14" spans="1:8" x14ac:dyDescent="0.35">
      <c r="A14">
        <v>2</v>
      </c>
      <c r="B14" s="1">
        <v>44383</v>
      </c>
      <c r="C14" t="s">
        <v>13</v>
      </c>
      <c r="D14" t="s">
        <v>9</v>
      </c>
      <c r="E14" t="s">
        <v>10</v>
      </c>
      <c r="F14" s="2">
        <v>25.527057750000001</v>
      </c>
      <c r="G14" s="2">
        <v>15.06383604</v>
      </c>
      <c r="H14" s="2">
        <v>518.04761900000005</v>
      </c>
    </row>
    <row r="15" spans="1:8" x14ac:dyDescent="0.35">
      <c r="A15">
        <v>2</v>
      </c>
      <c r="B15" s="1">
        <v>44383</v>
      </c>
      <c r="C15" t="s">
        <v>13</v>
      </c>
      <c r="D15" t="s">
        <v>14</v>
      </c>
      <c r="E15" t="s">
        <v>11</v>
      </c>
      <c r="F15" s="2">
        <v>3.138634444</v>
      </c>
      <c r="G15" s="2">
        <v>2.1729382199999998</v>
      </c>
      <c r="H15" s="2">
        <v>245.90476190000001</v>
      </c>
    </row>
    <row r="16" spans="1:8" x14ac:dyDescent="0.35">
      <c r="A16">
        <v>2</v>
      </c>
      <c r="B16" s="1">
        <v>44383</v>
      </c>
      <c r="C16" t="s">
        <v>13</v>
      </c>
      <c r="D16" t="s">
        <v>15</v>
      </c>
      <c r="E16" t="s">
        <v>11</v>
      </c>
      <c r="F16" s="2">
        <v>3.9279542649999999</v>
      </c>
      <c r="G16" s="2">
        <v>2.8294115729999998</v>
      </c>
      <c r="H16" s="2">
        <v>349.39682540000001</v>
      </c>
    </row>
    <row r="17" spans="1:8" x14ac:dyDescent="0.35">
      <c r="B17" s="1"/>
      <c r="F17" s="2">
        <f>AVERAGE(F15:F16)</f>
        <v>3.5332943544999997</v>
      </c>
      <c r="G17" s="2">
        <f>AVERAGE(G15:G16)</f>
        <v>2.5011748964999998</v>
      </c>
      <c r="H17" s="2">
        <f>AVERAGE(H15:H16)</f>
        <v>297.65079365000003</v>
      </c>
    </row>
    <row r="18" spans="1:8" x14ac:dyDescent="0.35">
      <c r="A18">
        <v>3</v>
      </c>
      <c r="B18" s="1">
        <v>44404</v>
      </c>
      <c r="C18" t="s">
        <v>16</v>
      </c>
      <c r="D18" t="s">
        <v>9</v>
      </c>
      <c r="E18" t="s">
        <v>10</v>
      </c>
      <c r="F18" s="2">
        <v>26.987137010000001</v>
      </c>
      <c r="G18" s="2">
        <v>16.03475735</v>
      </c>
      <c r="H18" s="2">
        <v>349.7142857</v>
      </c>
    </row>
    <row r="19" spans="1:8" x14ac:dyDescent="0.35">
      <c r="A19">
        <v>3</v>
      </c>
      <c r="B19" s="1">
        <v>44404</v>
      </c>
      <c r="C19" t="s">
        <v>16</v>
      </c>
      <c r="D19" t="s">
        <v>9</v>
      </c>
      <c r="E19" t="s">
        <v>11</v>
      </c>
      <c r="F19" s="2">
        <v>4.7919833690000004</v>
      </c>
      <c r="G19" s="2">
        <v>3.4405208709999999</v>
      </c>
      <c r="H19" s="2">
        <v>520.7460317</v>
      </c>
    </row>
    <row r="20" spans="1:8" x14ac:dyDescent="0.35">
      <c r="A20">
        <v>3</v>
      </c>
      <c r="B20" s="1">
        <v>44410</v>
      </c>
      <c r="C20" t="s">
        <v>17</v>
      </c>
      <c r="D20" t="s">
        <v>9</v>
      </c>
      <c r="E20" t="s">
        <v>10</v>
      </c>
      <c r="F20" s="2">
        <v>26.55837069</v>
      </c>
      <c r="G20" s="2">
        <v>15.73287425</v>
      </c>
      <c r="H20" s="2">
        <v>644.07936510000002</v>
      </c>
    </row>
    <row r="21" spans="1:8" x14ac:dyDescent="0.35">
      <c r="A21">
        <v>3</v>
      </c>
      <c r="B21" s="1">
        <v>44410</v>
      </c>
      <c r="C21" t="s">
        <v>17</v>
      </c>
      <c r="D21" t="s">
        <v>9</v>
      </c>
      <c r="E21" t="s">
        <v>11</v>
      </c>
      <c r="F21" s="2">
        <v>10.478009480000001</v>
      </c>
      <c r="G21" s="2">
        <v>7.002741425</v>
      </c>
      <c r="H21" s="2">
        <v>1383.7619050000001</v>
      </c>
    </row>
    <row r="22" spans="1:8" x14ac:dyDescent="0.35">
      <c r="A22">
        <v>3</v>
      </c>
      <c r="B22" s="1">
        <v>44418</v>
      </c>
      <c r="C22" t="s">
        <v>13</v>
      </c>
      <c r="D22" t="s">
        <v>9</v>
      </c>
      <c r="E22" t="s">
        <v>10</v>
      </c>
      <c r="F22" s="2">
        <v>27.156044959999999</v>
      </c>
      <c r="G22" s="2">
        <v>16.43454848</v>
      </c>
      <c r="H22" s="2">
        <v>415.19047619999998</v>
      </c>
    </row>
    <row r="23" spans="1:8" x14ac:dyDescent="0.35">
      <c r="A23">
        <v>3</v>
      </c>
      <c r="B23" s="1">
        <v>44418</v>
      </c>
      <c r="C23" t="s">
        <v>13</v>
      </c>
      <c r="D23" t="s">
        <v>14</v>
      </c>
      <c r="E23" t="s">
        <v>11</v>
      </c>
      <c r="F23" s="2" t="s">
        <v>9</v>
      </c>
      <c r="G23" s="2" t="s">
        <v>9</v>
      </c>
      <c r="H23" s="2" t="s">
        <v>9</v>
      </c>
    </row>
    <row r="24" spans="1:8" x14ac:dyDescent="0.35">
      <c r="A24">
        <v>3</v>
      </c>
      <c r="B24" s="1">
        <v>44418</v>
      </c>
      <c r="C24" t="s">
        <v>13</v>
      </c>
      <c r="D24" t="s">
        <v>15</v>
      </c>
      <c r="E24" t="s">
        <v>11</v>
      </c>
      <c r="F24" s="2">
        <v>3.2295848760000001</v>
      </c>
      <c r="G24" s="2">
        <v>2.1690218990000001</v>
      </c>
      <c r="H24" s="2">
        <v>309.23809519999998</v>
      </c>
    </row>
    <row r="25" spans="1:8" x14ac:dyDescent="0.35">
      <c r="F2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1D76-E65C-4024-8DC2-E0EDA1507A7B}">
  <dimension ref="A1:H27"/>
  <sheetViews>
    <sheetView workbookViewId="0">
      <selection activeCell="G4" sqref="G4"/>
    </sheetView>
  </sheetViews>
  <sheetFormatPr defaultRowHeight="14.5" x14ac:dyDescent="0.35"/>
  <cols>
    <col min="1" max="1" width="5.26953125" bestFit="1" customWidth="1"/>
    <col min="2" max="2" width="9.08984375" bestFit="1" customWidth="1"/>
    <col min="3" max="3" width="5.54296875" bestFit="1" customWidth="1"/>
    <col min="4" max="4" width="9.1796875" bestFit="1" customWidth="1"/>
    <col min="5" max="5" width="6.453125" bestFit="1" customWidth="1"/>
    <col min="6" max="6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23</v>
      </c>
    </row>
    <row r="2" spans="1:8" x14ac:dyDescent="0.35">
      <c r="A2">
        <v>1</v>
      </c>
      <c r="B2" s="1">
        <v>44340</v>
      </c>
      <c r="C2" t="s">
        <v>8</v>
      </c>
      <c r="D2" t="s">
        <v>9</v>
      </c>
      <c r="E2" t="s">
        <v>10</v>
      </c>
      <c r="F2">
        <v>33.363636360000001</v>
      </c>
      <c r="G2" s="2">
        <v>33.363636360000001</v>
      </c>
    </row>
    <row r="3" spans="1:8" x14ac:dyDescent="0.35">
      <c r="A3">
        <v>1</v>
      </c>
      <c r="B3" s="1">
        <v>44340</v>
      </c>
      <c r="C3" t="s">
        <v>8</v>
      </c>
      <c r="D3" t="s">
        <v>9</v>
      </c>
      <c r="E3" t="s">
        <v>11</v>
      </c>
      <c r="F3" t="s">
        <v>9</v>
      </c>
      <c r="G3" s="2" t="s">
        <v>9</v>
      </c>
      <c r="H3" t="s">
        <v>40</v>
      </c>
    </row>
    <row r="4" spans="1:8" x14ac:dyDescent="0.35">
      <c r="A4">
        <v>1</v>
      </c>
      <c r="B4" s="1">
        <v>44348</v>
      </c>
      <c r="C4" t="s">
        <v>12</v>
      </c>
      <c r="D4" t="s">
        <v>9</v>
      </c>
      <c r="E4" t="s">
        <v>10</v>
      </c>
      <c r="F4">
        <v>332.05560000000003</v>
      </c>
      <c r="G4">
        <v>332.05560000000003</v>
      </c>
      <c r="H4" t="s">
        <v>41</v>
      </c>
    </row>
    <row r="5" spans="1:8" x14ac:dyDescent="0.35">
      <c r="A5">
        <v>1</v>
      </c>
      <c r="B5" s="1">
        <v>44348</v>
      </c>
      <c r="C5" t="s">
        <v>12</v>
      </c>
      <c r="D5" t="s">
        <v>9</v>
      </c>
      <c r="E5" t="s">
        <v>11</v>
      </c>
      <c r="F5">
        <v>344.81818179999999</v>
      </c>
      <c r="G5" s="2">
        <v>344.81818179999999</v>
      </c>
    </row>
    <row r="6" spans="1:8" x14ac:dyDescent="0.35">
      <c r="A6">
        <v>1</v>
      </c>
      <c r="B6" s="1">
        <v>44354</v>
      </c>
      <c r="C6" t="s">
        <v>13</v>
      </c>
      <c r="D6" t="s">
        <v>9</v>
      </c>
      <c r="E6" t="s">
        <v>10</v>
      </c>
      <c r="F6">
        <v>62.909090910000003</v>
      </c>
      <c r="G6" s="2">
        <v>62.909090910000003</v>
      </c>
    </row>
    <row r="7" spans="1:8" x14ac:dyDescent="0.35">
      <c r="A7">
        <v>1</v>
      </c>
      <c r="B7" s="1">
        <v>44354</v>
      </c>
      <c r="C7" t="s">
        <v>13</v>
      </c>
      <c r="D7" t="s">
        <v>14</v>
      </c>
      <c r="E7" t="s">
        <v>11</v>
      </c>
      <c r="F7">
        <v>292.09090909999998</v>
      </c>
      <c r="G7" s="2">
        <v>292.09090909999998</v>
      </c>
    </row>
    <row r="8" spans="1:8" x14ac:dyDescent="0.35">
      <c r="A8">
        <v>1</v>
      </c>
      <c r="B8" s="1">
        <v>44354</v>
      </c>
      <c r="C8" t="s">
        <v>13</v>
      </c>
      <c r="D8" t="s">
        <v>15</v>
      </c>
      <c r="E8" t="s">
        <v>11</v>
      </c>
      <c r="F8" t="s">
        <v>9</v>
      </c>
      <c r="G8" s="2">
        <v>5</v>
      </c>
    </row>
    <row r="9" spans="1:8" x14ac:dyDescent="0.35">
      <c r="B9" s="1"/>
      <c r="F9">
        <f>F7</f>
        <v>292.09090909999998</v>
      </c>
      <c r="G9" s="2">
        <v>292.09090909999998</v>
      </c>
      <c r="H9" t="s">
        <v>25</v>
      </c>
    </row>
    <row r="10" spans="1:8" x14ac:dyDescent="0.35">
      <c r="A10">
        <v>2</v>
      </c>
      <c r="B10" s="1">
        <v>44368</v>
      </c>
      <c r="C10" t="s">
        <v>8</v>
      </c>
      <c r="D10" t="s">
        <v>9</v>
      </c>
      <c r="E10" t="s">
        <v>10</v>
      </c>
      <c r="F10">
        <v>100.4090909</v>
      </c>
      <c r="G10" s="2">
        <v>100.4090909</v>
      </c>
    </row>
    <row r="11" spans="1:8" x14ac:dyDescent="0.35">
      <c r="A11">
        <v>2</v>
      </c>
      <c r="B11" s="1">
        <v>44368</v>
      </c>
      <c r="C11" t="s">
        <v>8</v>
      </c>
      <c r="D11" t="s">
        <v>9</v>
      </c>
      <c r="E11" t="s">
        <v>11</v>
      </c>
      <c r="F11" t="s">
        <v>9</v>
      </c>
      <c r="G11" s="2">
        <v>5</v>
      </c>
    </row>
    <row r="12" spans="1:8" x14ac:dyDescent="0.35">
      <c r="A12">
        <v>2</v>
      </c>
      <c r="B12" s="1">
        <v>44376</v>
      </c>
      <c r="C12" t="s">
        <v>12</v>
      </c>
      <c r="D12" t="s">
        <v>9</v>
      </c>
      <c r="E12" t="s">
        <v>10</v>
      </c>
      <c r="F12">
        <v>146.63636360000001</v>
      </c>
      <c r="G12" s="2">
        <v>146.63636360000001</v>
      </c>
    </row>
    <row r="13" spans="1:8" x14ac:dyDescent="0.35">
      <c r="A13">
        <v>2</v>
      </c>
      <c r="B13" s="1">
        <v>44376</v>
      </c>
      <c r="C13" t="s">
        <v>12</v>
      </c>
      <c r="D13" t="s">
        <v>9</v>
      </c>
      <c r="E13" t="s">
        <v>11</v>
      </c>
      <c r="F13">
        <v>357.45454549999999</v>
      </c>
      <c r="G13" s="2">
        <v>357.45454549999999</v>
      </c>
    </row>
    <row r="14" spans="1:8" x14ac:dyDescent="0.35">
      <c r="A14">
        <v>2</v>
      </c>
      <c r="B14" s="1">
        <v>44383</v>
      </c>
      <c r="C14" t="s">
        <v>13</v>
      </c>
      <c r="D14" t="s">
        <v>9</v>
      </c>
      <c r="E14" t="s">
        <v>10</v>
      </c>
      <c r="F14">
        <v>215.31818179999999</v>
      </c>
      <c r="G14" s="2">
        <v>215.31818179999999</v>
      </c>
    </row>
    <row r="15" spans="1:8" x14ac:dyDescent="0.35">
      <c r="A15">
        <v>2</v>
      </c>
      <c r="B15" s="1">
        <v>44383</v>
      </c>
      <c r="C15" t="s">
        <v>13</v>
      </c>
      <c r="D15" t="s">
        <v>14</v>
      </c>
      <c r="E15" t="s">
        <v>11</v>
      </c>
      <c r="F15">
        <v>190.27272730000001</v>
      </c>
      <c r="G15" s="2">
        <v>190.27272730000001</v>
      </c>
    </row>
    <row r="16" spans="1:8" x14ac:dyDescent="0.35">
      <c r="A16">
        <v>2</v>
      </c>
      <c r="B16" s="1">
        <v>44383</v>
      </c>
      <c r="C16" t="s">
        <v>13</v>
      </c>
      <c r="D16" t="s">
        <v>15</v>
      </c>
      <c r="E16" t="s">
        <v>11</v>
      </c>
      <c r="F16">
        <v>247.77272730000001</v>
      </c>
      <c r="G16" s="2">
        <v>247.77272730000001</v>
      </c>
    </row>
    <row r="17" spans="1:8" x14ac:dyDescent="0.35">
      <c r="B17" s="1"/>
      <c r="F17">
        <f>AVERAGE(F15:F16)</f>
        <v>219.02272730000001</v>
      </c>
      <c r="G17" s="2">
        <v>219.02272730000001</v>
      </c>
      <c r="H17" t="s">
        <v>24</v>
      </c>
    </row>
    <row r="18" spans="1:8" x14ac:dyDescent="0.35">
      <c r="A18">
        <v>3</v>
      </c>
      <c r="B18" s="1">
        <v>44404</v>
      </c>
      <c r="C18" t="s">
        <v>8</v>
      </c>
      <c r="D18" t="s">
        <v>9</v>
      </c>
      <c r="E18" t="s">
        <v>10</v>
      </c>
      <c r="F18">
        <v>89.545454550000002</v>
      </c>
      <c r="G18" s="2">
        <v>89.545454550000002</v>
      </c>
    </row>
    <row r="19" spans="1:8" x14ac:dyDescent="0.35">
      <c r="A19">
        <v>3</v>
      </c>
      <c r="B19" s="1">
        <v>44404</v>
      </c>
      <c r="C19" t="s">
        <v>8</v>
      </c>
      <c r="D19" t="s">
        <v>9</v>
      </c>
      <c r="E19" t="s">
        <v>11</v>
      </c>
      <c r="F19">
        <v>108.0909091</v>
      </c>
      <c r="G19" s="2">
        <v>108.0909091</v>
      </c>
    </row>
    <row r="20" spans="1:8" x14ac:dyDescent="0.35">
      <c r="A20">
        <v>3</v>
      </c>
      <c r="B20" s="1">
        <v>44410</v>
      </c>
      <c r="C20" t="s">
        <v>12</v>
      </c>
      <c r="D20" t="s">
        <v>9</v>
      </c>
      <c r="E20" t="s">
        <v>10</v>
      </c>
      <c r="F20">
        <v>132.72727269999999</v>
      </c>
      <c r="G20" s="2">
        <v>132.72727269999999</v>
      </c>
    </row>
    <row r="21" spans="1:8" x14ac:dyDescent="0.35">
      <c r="A21">
        <v>3</v>
      </c>
      <c r="B21" s="1">
        <v>44410</v>
      </c>
      <c r="C21" t="s">
        <v>12</v>
      </c>
      <c r="D21" t="s">
        <v>9</v>
      </c>
      <c r="E21" t="s">
        <v>11</v>
      </c>
      <c r="F21">
        <v>183.63636360000001</v>
      </c>
      <c r="G21" s="2">
        <v>183.63636360000001</v>
      </c>
    </row>
    <row r="22" spans="1:8" x14ac:dyDescent="0.35">
      <c r="A22">
        <v>3</v>
      </c>
      <c r="B22" s="1">
        <v>44418</v>
      </c>
      <c r="C22" t="s">
        <v>13</v>
      </c>
      <c r="D22" t="s">
        <v>9</v>
      </c>
      <c r="E22" t="s">
        <v>10</v>
      </c>
      <c r="F22">
        <v>83.090909089999997</v>
      </c>
      <c r="G22" s="2">
        <v>83.090909089999997</v>
      </c>
    </row>
    <row r="23" spans="1:8" x14ac:dyDescent="0.35">
      <c r="A23">
        <v>3</v>
      </c>
      <c r="B23" s="1">
        <v>44418</v>
      </c>
      <c r="C23" t="s">
        <v>13</v>
      </c>
      <c r="D23" t="s">
        <v>14</v>
      </c>
      <c r="E23" t="s">
        <v>11</v>
      </c>
      <c r="F23">
        <v>288.18181820000001</v>
      </c>
      <c r="G23" s="2">
        <v>288.18181820000001</v>
      </c>
    </row>
    <row r="24" spans="1:8" x14ac:dyDescent="0.35">
      <c r="A24">
        <v>3</v>
      </c>
      <c r="B24" s="1">
        <v>44418</v>
      </c>
      <c r="C24" t="s">
        <v>13</v>
      </c>
      <c r="D24" t="s">
        <v>15</v>
      </c>
      <c r="E24" t="s">
        <v>11</v>
      </c>
      <c r="F24">
        <v>188.18181820000001</v>
      </c>
      <c r="G24" s="2">
        <v>188.18181820000001</v>
      </c>
    </row>
    <row r="25" spans="1:8" x14ac:dyDescent="0.35">
      <c r="B25" s="1"/>
      <c r="F25">
        <f>AVERAGE(F23:F24)</f>
        <v>238.18181820000001</v>
      </c>
      <c r="G25" s="2">
        <v>238.18181820000001</v>
      </c>
      <c r="H25" t="s">
        <v>24</v>
      </c>
    </row>
    <row r="27" spans="1:8" x14ac:dyDescent="0.35">
      <c r="G2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D2CB-2B9C-409E-A4C8-E54B74B22829}">
  <dimension ref="A1:J29"/>
  <sheetViews>
    <sheetView workbookViewId="0">
      <selection activeCell="N10" sqref="N10"/>
    </sheetView>
  </sheetViews>
  <sheetFormatPr defaultRowHeight="14.5" x14ac:dyDescent="0.35"/>
  <cols>
    <col min="2" max="2" width="9.08984375" bestFit="1" customWidth="1"/>
    <col min="6" max="6" width="19.90625" bestFit="1" customWidth="1"/>
    <col min="7" max="7" width="15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27</v>
      </c>
      <c r="I1" t="s">
        <v>30</v>
      </c>
      <c r="J1" t="s">
        <v>31</v>
      </c>
    </row>
    <row r="2" spans="1:10" x14ac:dyDescent="0.35">
      <c r="A2">
        <v>1</v>
      </c>
      <c r="B2" s="1">
        <v>44354</v>
      </c>
      <c r="C2" t="s">
        <v>13</v>
      </c>
      <c r="D2" t="s">
        <v>14</v>
      </c>
      <c r="E2" t="s">
        <v>11</v>
      </c>
      <c r="F2">
        <v>8.3000000000000001E-3</v>
      </c>
      <c r="G2">
        <v>57.179000000000002</v>
      </c>
      <c r="I2">
        <v>8.3000000000000001E-3</v>
      </c>
      <c r="J2">
        <f>G2</f>
        <v>57.179000000000002</v>
      </c>
    </row>
    <row r="3" spans="1:10" x14ac:dyDescent="0.35">
      <c r="A3">
        <v>1</v>
      </c>
      <c r="B3" s="1">
        <v>44354</v>
      </c>
      <c r="C3" t="s">
        <v>13</v>
      </c>
      <c r="D3" t="s">
        <v>15</v>
      </c>
      <c r="E3" t="s">
        <v>11</v>
      </c>
      <c r="F3">
        <v>6.7000000000000002E-3</v>
      </c>
      <c r="G3">
        <v>78.951999999999998</v>
      </c>
      <c r="I3">
        <v>6.7000000000000002E-3</v>
      </c>
      <c r="J3">
        <f t="shared" ref="J3:J25" si="0">G3</f>
        <v>78.951999999999998</v>
      </c>
    </row>
    <row r="4" spans="1:10" x14ac:dyDescent="0.35">
      <c r="B4" s="1"/>
      <c r="I4">
        <f>AVERAGE(I2:I3)</f>
        <v>7.4999999999999997E-3</v>
      </c>
      <c r="J4">
        <f>AVERAGE(J2:J3)</f>
        <v>68.0655</v>
      </c>
    </row>
    <row r="5" spans="1:10" x14ac:dyDescent="0.35">
      <c r="A5">
        <v>1</v>
      </c>
      <c r="B5" s="1">
        <v>44354</v>
      </c>
      <c r="C5" t="s">
        <v>13</v>
      </c>
      <c r="D5" t="s">
        <v>9</v>
      </c>
      <c r="E5" t="s">
        <v>10</v>
      </c>
      <c r="F5">
        <v>8.8999999999999999E-3</v>
      </c>
      <c r="G5">
        <v>7.181</v>
      </c>
      <c r="I5">
        <v>8.8999999999999999E-3</v>
      </c>
      <c r="J5">
        <f t="shared" si="0"/>
        <v>7.181</v>
      </c>
    </row>
    <row r="6" spans="1:10" x14ac:dyDescent="0.35">
      <c r="A6">
        <v>1</v>
      </c>
      <c r="B6" s="1">
        <v>44340</v>
      </c>
      <c r="C6" t="s">
        <v>16</v>
      </c>
      <c r="D6" t="s">
        <v>9</v>
      </c>
      <c r="E6" t="s">
        <v>11</v>
      </c>
      <c r="F6">
        <v>3.73E-2</v>
      </c>
      <c r="G6">
        <v>9.5</v>
      </c>
      <c r="I6">
        <v>3.73E-2</v>
      </c>
      <c r="J6">
        <f t="shared" si="0"/>
        <v>9.5</v>
      </c>
    </row>
    <row r="7" spans="1:10" x14ac:dyDescent="0.35">
      <c r="A7">
        <v>1</v>
      </c>
      <c r="B7" s="1">
        <v>44340</v>
      </c>
      <c r="C7" t="s">
        <v>16</v>
      </c>
      <c r="D7" t="s">
        <v>9</v>
      </c>
      <c r="E7" t="s">
        <v>10</v>
      </c>
      <c r="F7">
        <v>2.8E-3</v>
      </c>
      <c r="G7">
        <v>5.5110000000000001</v>
      </c>
      <c r="I7">
        <v>2.8E-3</v>
      </c>
      <c r="J7">
        <f t="shared" si="0"/>
        <v>5.5110000000000001</v>
      </c>
    </row>
    <row r="8" spans="1:10" x14ac:dyDescent="0.35">
      <c r="A8">
        <v>1</v>
      </c>
      <c r="B8" s="1">
        <v>44348</v>
      </c>
      <c r="C8" t="s">
        <v>17</v>
      </c>
      <c r="D8" t="s">
        <v>9</v>
      </c>
      <c r="E8" t="s">
        <v>11</v>
      </c>
      <c r="F8">
        <v>2.7699999999999999E-2</v>
      </c>
      <c r="G8">
        <v>23.059000000000001</v>
      </c>
      <c r="I8">
        <v>2.7699999999999999E-2</v>
      </c>
      <c r="J8">
        <f t="shared" si="0"/>
        <v>23.059000000000001</v>
      </c>
    </row>
    <row r="9" spans="1:10" x14ac:dyDescent="0.35">
      <c r="A9">
        <v>1</v>
      </c>
      <c r="B9" s="1">
        <v>44348</v>
      </c>
      <c r="C9" t="s">
        <v>17</v>
      </c>
      <c r="D9" t="s">
        <v>9</v>
      </c>
      <c r="E9" t="s">
        <v>10</v>
      </c>
      <c r="F9">
        <v>-6.1000000000000004E-3</v>
      </c>
      <c r="G9">
        <v>3.6949999999999998</v>
      </c>
      <c r="I9">
        <v>1E-3</v>
      </c>
      <c r="J9">
        <f t="shared" si="0"/>
        <v>3.6949999999999998</v>
      </c>
    </row>
    <row r="10" spans="1:10" x14ac:dyDescent="0.35">
      <c r="A10">
        <v>2</v>
      </c>
      <c r="B10" s="1">
        <v>44383</v>
      </c>
      <c r="C10" t="s">
        <v>13</v>
      </c>
      <c r="D10" t="s">
        <v>14</v>
      </c>
      <c r="E10" t="s">
        <v>11</v>
      </c>
      <c r="F10">
        <v>2.0400000000000001E-2</v>
      </c>
      <c r="G10">
        <v>47.869</v>
      </c>
      <c r="I10">
        <v>2.0400000000000001E-2</v>
      </c>
      <c r="J10">
        <f t="shared" si="0"/>
        <v>47.869</v>
      </c>
    </row>
    <row r="11" spans="1:10" x14ac:dyDescent="0.35">
      <c r="A11">
        <v>2</v>
      </c>
      <c r="B11" s="1">
        <v>44383</v>
      </c>
      <c r="C11" t="s">
        <v>13</v>
      </c>
      <c r="D11" t="s">
        <v>15</v>
      </c>
      <c r="E11" t="s">
        <v>11</v>
      </c>
      <c r="F11">
        <v>0.1338</v>
      </c>
      <c r="G11">
        <v>18.774999999999999</v>
      </c>
      <c r="I11">
        <v>0.1338</v>
      </c>
      <c r="J11">
        <f t="shared" si="0"/>
        <v>18.774999999999999</v>
      </c>
    </row>
    <row r="12" spans="1:10" x14ac:dyDescent="0.35">
      <c r="B12" s="1"/>
      <c r="I12">
        <f>AVERAGE(I10:I11)</f>
        <v>7.7100000000000002E-2</v>
      </c>
      <c r="J12">
        <f>AVERAGE(J10:J11)</f>
        <v>33.322000000000003</v>
      </c>
    </row>
    <row r="13" spans="1:10" x14ac:dyDescent="0.35">
      <c r="A13">
        <v>2</v>
      </c>
      <c r="B13" s="1">
        <v>44383</v>
      </c>
      <c r="C13" t="s">
        <v>13</v>
      </c>
      <c r="D13" t="s">
        <v>9</v>
      </c>
      <c r="E13" t="s">
        <v>10</v>
      </c>
      <c r="F13">
        <v>4.82E-2</v>
      </c>
      <c r="G13">
        <v>43.695999999999998</v>
      </c>
      <c r="I13">
        <v>4.82E-2</v>
      </c>
      <c r="J13">
        <f t="shared" si="0"/>
        <v>43.695999999999998</v>
      </c>
    </row>
    <row r="14" spans="1:10" x14ac:dyDescent="0.35">
      <c r="A14">
        <v>2</v>
      </c>
      <c r="B14" s="1">
        <v>44368</v>
      </c>
      <c r="C14" t="s">
        <v>16</v>
      </c>
      <c r="D14" t="s">
        <v>9</v>
      </c>
      <c r="E14" t="s">
        <v>11</v>
      </c>
      <c r="F14">
        <v>6.2399999999999997E-2</v>
      </c>
      <c r="G14">
        <v>12.407999999999999</v>
      </c>
      <c r="I14">
        <v>6.2399999999999997E-2</v>
      </c>
      <c r="J14">
        <f t="shared" si="0"/>
        <v>12.407999999999999</v>
      </c>
    </row>
    <row r="15" spans="1:10" x14ac:dyDescent="0.35">
      <c r="A15">
        <v>2</v>
      </c>
      <c r="B15" s="1">
        <v>44368</v>
      </c>
      <c r="C15" t="s">
        <v>16</v>
      </c>
      <c r="D15" t="s">
        <v>9</v>
      </c>
      <c r="E15" t="s">
        <v>10</v>
      </c>
      <c r="F15">
        <v>7.1000000000000004E-3</v>
      </c>
      <c r="G15">
        <v>11.054</v>
      </c>
      <c r="I15">
        <v>7.1000000000000004E-3</v>
      </c>
      <c r="J15">
        <f t="shared" si="0"/>
        <v>11.054</v>
      </c>
    </row>
    <row r="16" spans="1:10" x14ac:dyDescent="0.35">
      <c r="A16">
        <v>2</v>
      </c>
      <c r="B16" s="1">
        <v>44376</v>
      </c>
      <c r="C16" t="s">
        <v>17</v>
      </c>
      <c r="D16" t="s">
        <v>9</v>
      </c>
      <c r="E16" t="s">
        <v>11</v>
      </c>
      <c r="F16">
        <v>0.3629</v>
      </c>
      <c r="G16">
        <v>7.63</v>
      </c>
      <c r="I16">
        <v>0.3629</v>
      </c>
      <c r="J16">
        <f t="shared" si="0"/>
        <v>7.63</v>
      </c>
    </row>
    <row r="17" spans="1:10" x14ac:dyDescent="0.35">
      <c r="A17">
        <v>2</v>
      </c>
      <c r="B17" s="1">
        <v>44376</v>
      </c>
      <c r="C17" t="s">
        <v>17</v>
      </c>
      <c r="D17" t="s">
        <v>9</v>
      </c>
      <c r="E17" t="s">
        <v>10</v>
      </c>
      <c r="F17">
        <v>3.7000000000000002E-3</v>
      </c>
      <c r="G17">
        <v>13.231</v>
      </c>
      <c r="I17">
        <v>3.7000000000000002E-3</v>
      </c>
      <c r="J17">
        <f t="shared" si="0"/>
        <v>13.231</v>
      </c>
    </row>
    <row r="18" spans="1:10" x14ac:dyDescent="0.35">
      <c r="A18">
        <v>3</v>
      </c>
      <c r="B18" s="1">
        <v>44418</v>
      </c>
      <c r="C18" t="s">
        <v>13</v>
      </c>
      <c r="D18" t="s">
        <v>14</v>
      </c>
      <c r="E18" t="s">
        <v>11</v>
      </c>
      <c r="F18">
        <v>1.6000000000000001E-3</v>
      </c>
      <c r="G18">
        <v>42.777999999999999</v>
      </c>
      <c r="I18">
        <v>1E-3</v>
      </c>
      <c r="J18">
        <f t="shared" si="0"/>
        <v>42.777999999999999</v>
      </c>
    </row>
    <row r="19" spans="1:10" x14ac:dyDescent="0.35">
      <c r="A19">
        <v>3</v>
      </c>
      <c r="B19" s="1">
        <v>44418</v>
      </c>
      <c r="C19" t="s">
        <v>13</v>
      </c>
      <c r="D19" t="s">
        <v>15</v>
      </c>
      <c r="E19" t="s">
        <v>11</v>
      </c>
      <c r="F19">
        <v>0.1045</v>
      </c>
      <c r="G19">
        <v>19.638999999999999</v>
      </c>
      <c r="I19">
        <v>0.1045</v>
      </c>
      <c r="J19">
        <f t="shared" si="0"/>
        <v>19.638999999999999</v>
      </c>
    </row>
    <row r="20" spans="1:10" x14ac:dyDescent="0.35">
      <c r="B20" s="1"/>
      <c r="I20">
        <f>AVERAGE(I18:I19)</f>
        <v>5.2749999999999998E-2</v>
      </c>
      <c r="J20">
        <f>AVERAGE(J18:J19)</f>
        <v>31.208500000000001</v>
      </c>
    </row>
    <row r="21" spans="1:10" x14ac:dyDescent="0.35">
      <c r="A21">
        <v>3</v>
      </c>
      <c r="B21" s="1">
        <v>44418</v>
      </c>
      <c r="C21" t="s">
        <v>13</v>
      </c>
      <c r="D21" t="s">
        <v>9</v>
      </c>
      <c r="E21" t="s">
        <v>10</v>
      </c>
      <c r="F21">
        <v>2.9499999999999998E-2</v>
      </c>
      <c r="G21">
        <v>22.204999999999998</v>
      </c>
      <c r="I21">
        <v>2.9499999999999998E-2</v>
      </c>
      <c r="J21">
        <f t="shared" si="0"/>
        <v>22.204999999999998</v>
      </c>
    </row>
    <row r="22" spans="1:10" x14ac:dyDescent="0.35">
      <c r="A22">
        <v>3</v>
      </c>
      <c r="B22" s="1">
        <v>44404</v>
      </c>
      <c r="C22" t="s">
        <v>16</v>
      </c>
      <c r="D22" t="s">
        <v>9</v>
      </c>
      <c r="E22" t="s">
        <v>11</v>
      </c>
      <c r="F22">
        <v>0.32240000000000002</v>
      </c>
      <c r="G22">
        <v>13.917999999999999</v>
      </c>
      <c r="I22">
        <v>0.32240000000000002</v>
      </c>
      <c r="J22">
        <f t="shared" si="0"/>
        <v>13.917999999999999</v>
      </c>
    </row>
    <row r="23" spans="1:10" x14ac:dyDescent="0.35">
      <c r="A23">
        <v>3</v>
      </c>
      <c r="B23" s="1">
        <v>44404</v>
      </c>
      <c r="C23" t="s">
        <v>16</v>
      </c>
      <c r="D23" t="s">
        <v>9</v>
      </c>
      <c r="E23" t="s">
        <v>10</v>
      </c>
      <c r="F23">
        <v>2.3800000000000002E-2</v>
      </c>
      <c r="G23">
        <v>15.067</v>
      </c>
      <c r="I23">
        <v>2.3800000000000002E-2</v>
      </c>
      <c r="J23">
        <f t="shared" si="0"/>
        <v>15.067</v>
      </c>
    </row>
    <row r="24" spans="1:10" x14ac:dyDescent="0.35">
      <c r="A24">
        <v>3</v>
      </c>
      <c r="B24" s="1">
        <v>44410</v>
      </c>
      <c r="C24" t="s">
        <v>17</v>
      </c>
      <c r="D24" t="s">
        <v>9</v>
      </c>
      <c r="E24" t="s">
        <v>11</v>
      </c>
      <c r="F24">
        <v>0.77170000000000005</v>
      </c>
      <c r="G24">
        <v>10.08</v>
      </c>
      <c r="I24">
        <v>0.77170000000000005</v>
      </c>
      <c r="J24">
        <f t="shared" si="0"/>
        <v>10.08</v>
      </c>
    </row>
    <row r="25" spans="1:10" x14ac:dyDescent="0.35">
      <c r="A25">
        <v>3</v>
      </c>
      <c r="B25" s="1">
        <v>44410</v>
      </c>
      <c r="C25" t="s">
        <v>17</v>
      </c>
      <c r="D25" t="s">
        <v>9</v>
      </c>
      <c r="E25" t="s">
        <v>10</v>
      </c>
      <c r="F25">
        <v>0.1278</v>
      </c>
      <c r="G25">
        <v>19.733000000000001</v>
      </c>
      <c r="I25">
        <v>0.1278</v>
      </c>
      <c r="J25">
        <f t="shared" si="0"/>
        <v>19.733000000000001</v>
      </c>
    </row>
    <row r="27" spans="1:10" x14ac:dyDescent="0.35">
      <c r="F27" t="s">
        <v>28</v>
      </c>
      <c r="G27" t="s">
        <v>29</v>
      </c>
      <c r="I27" t="s">
        <v>32</v>
      </c>
    </row>
    <row r="29" spans="1:10" x14ac:dyDescent="0.35">
      <c r="I29" t="s">
        <v>33</v>
      </c>
    </row>
  </sheetData>
  <sortState xmlns:xlrd2="http://schemas.microsoft.com/office/spreadsheetml/2017/richdata2" ref="A2:G25">
    <sortCondition ref="A2:A25"/>
    <sortCondition ref="C2:C25"/>
    <sortCondition ref="E2:E25"/>
    <sortCondition ref="D2:D25"/>
  </sortState>
  <conditionalFormatting sqref="F2:F25">
    <cfRule type="cellIs" dxfId="1" priority="2" operator="lessThan">
      <formula>0.002</formula>
    </cfRule>
  </conditionalFormatting>
  <conditionalFormatting sqref="G2:G25">
    <cfRule type="cellIs" dxfId="0" priority="1" operator="lessThan">
      <formula>0.402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1EB2-2B91-40E2-BCC7-71388F7D9765}">
  <dimension ref="A1:G10"/>
  <sheetViews>
    <sheetView tabSelected="1" workbookViewId="0">
      <selection sqref="A1:F10"/>
    </sheetView>
  </sheetViews>
  <sheetFormatPr defaultRowHeight="14.5" x14ac:dyDescent="0.35"/>
  <cols>
    <col min="2" max="2" width="9.08984375" bestFit="1" customWidth="1"/>
    <col min="5" max="5" width="9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</row>
    <row r="2" spans="1:7" x14ac:dyDescent="0.35">
      <c r="A2">
        <v>1</v>
      </c>
      <c r="B2" s="1">
        <v>44354</v>
      </c>
      <c r="C2" t="s">
        <v>13</v>
      </c>
      <c r="D2" s="2">
        <v>18.600000000000001</v>
      </c>
      <c r="E2" s="2">
        <v>266.7</v>
      </c>
      <c r="F2" s="2">
        <v>8.3550000000000004</v>
      </c>
    </row>
    <row r="3" spans="1:7" x14ac:dyDescent="0.35">
      <c r="A3">
        <v>2</v>
      </c>
      <c r="B3" s="1">
        <v>44383</v>
      </c>
      <c r="C3" t="s">
        <v>13</v>
      </c>
      <c r="D3" s="2">
        <v>23.1</v>
      </c>
      <c r="E3" s="2">
        <v>360</v>
      </c>
      <c r="F3" s="2">
        <v>8.06</v>
      </c>
    </row>
    <row r="4" spans="1:7" x14ac:dyDescent="0.35">
      <c r="A4">
        <v>3</v>
      </c>
      <c r="B4" s="1">
        <v>44418</v>
      </c>
      <c r="C4" t="s">
        <v>13</v>
      </c>
      <c r="D4" s="2" t="s">
        <v>9</v>
      </c>
      <c r="E4" s="2" t="s">
        <v>9</v>
      </c>
      <c r="F4" s="2" t="s">
        <v>9</v>
      </c>
    </row>
    <row r="5" spans="1:7" x14ac:dyDescent="0.35">
      <c r="A5">
        <v>1</v>
      </c>
      <c r="B5" s="1">
        <v>44340</v>
      </c>
      <c r="C5" t="s">
        <v>16</v>
      </c>
      <c r="D5" s="2">
        <v>15.85</v>
      </c>
      <c r="E5" s="2">
        <v>235.7</v>
      </c>
      <c r="F5" s="2">
        <v>8.5500000000000007</v>
      </c>
    </row>
    <row r="6" spans="1:7" x14ac:dyDescent="0.35">
      <c r="A6">
        <v>2</v>
      </c>
      <c r="B6" s="1">
        <v>44368</v>
      </c>
      <c r="C6" t="s">
        <v>16</v>
      </c>
      <c r="D6" s="2">
        <v>21.2</v>
      </c>
      <c r="E6" s="2">
        <v>314</v>
      </c>
      <c r="F6" s="2">
        <v>8.1300000000000008</v>
      </c>
    </row>
    <row r="7" spans="1:7" x14ac:dyDescent="0.35">
      <c r="A7">
        <v>3</v>
      </c>
      <c r="B7" s="1">
        <v>44404</v>
      </c>
      <c r="C7" t="s">
        <v>16</v>
      </c>
      <c r="D7" s="2">
        <v>23</v>
      </c>
      <c r="E7" s="2">
        <v>382.3</v>
      </c>
      <c r="F7" s="2">
        <v>8.07</v>
      </c>
      <c r="G7" t="s">
        <v>38</v>
      </c>
    </row>
    <row r="8" spans="1:7" x14ac:dyDescent="0.35">
      <c r="A8">
        <v>1</v>
      </c>
      <c r="B8" s="1">
        <v>44348</v>
      </c>
      <c r="C8" t="s">
        <v>17</v>
      </c>
      <c r="D8" s="2">
        <v>16.899999999999999</v>
      </c>
      <c r="E8" s="2">
        <v>270.39999999999998</v>
      </c>
      <c r="F8" s="2">
        <v>8.89</v>
      </c>
      <c r="G8" t="s">
        <v>39</v>
      </c>
    </row>
    <row r="9" spans="1:7" x14ac:dyDescent="0.35">
      <c r="A9">
        <v>2</v>
      </c>
      <c r="B9" s="1">
        <v>44376</v>
      </c>
      <c r="C9" t="s">
        <v>17</v>
      </c>
      <c r="D9" s="2">
        <v>21.9</v>
      </c>
      <c r="E9" s="2">
        <v>325.2</v>
      </c>
      <c r="F9" s="2">
        <v>7.93</v>
      </c>
    </row>
    <row r="10" spans="1:7" x14ac:dyDescent="0.35">
      <c r="A10">
        <v>3</v>
      </c>
      <c r="B10" s="1">
        <v>44410</v>
      </c>
      <c r="C10" t="s">
        <v>17</v>
      </c>
      <c r="D10" s="2">
        <v>24.1</v>
      </c>
      <c r="E10" s="2">
        <v>387</v>
      </c>
      <c r="F10" s="2">
        <v>8.1999999999999993</v>
      </c>
    </row>
  </sheetData>
  <sortState xmlns:xlrd2="http://schemas.microsoft.com/office/spreadsheetml/2017/richdata2" ref="A2:D10">
    <sortCondition ref="C2:C10"/>
    <sortCondition ref="A2:A1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Compiled with QAQC</vt:lpstr>
      <vt:lpstr>Shimadzu</vt:lpstr>
      <vt:lpstr>IC - NO3 only</vt:lpstr>
      <vt:lpstr>AQ400</vt:lpstr>
      <vt:lpstr>YSI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Blaszczak</dc:creator>
  <cp:lastModifiedBy>Joanna Blaszczak</cp:lastModifiedBy>
  <dcterms:created xsi:type="dcterms:W3CDTF">2025-12-03T22:13:34Z</dcterms:created>
  <dcterms:modified xsi:type="dcterms:W3CDTF">2025-12-12T21:05:28Z</dcterms:modified>
</cp:coreProperties>
</file>